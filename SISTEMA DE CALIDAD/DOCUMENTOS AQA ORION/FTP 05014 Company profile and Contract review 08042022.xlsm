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2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5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6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drawings/drawing7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drawings/drawing8.xml" ContentType="application/vnd.openxmlformats-officedocument.drawing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drawings/drawing9.xml" ContentType="application/vnd.openxmlformats-officedocument.drawing+xml"/>
  <Override PartName="/xl/ctrlProps/ctrlProp178.xml" ContentType="application/vnd.ms-excel.controlproperties+xml"/>
  <Override PartName="/xl/ctrlProps/ctrlProp17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SMSERV1\Users\Public\SISTEMA DE CALIDAD ELECTRONICO\DOCUMENTOS AQA ORION\"/>
    </mc:Choice>
  </mc:AlternateContent>
  <xr:revisionPtr revIDLastSave="0" documentId="14_{14733CAA-5A47-4E6C-A47A-9025554CEA46}" xr6:coauthVersionLast="47" xr6:coauthVersionMax="47" xr10:uidLastSave="{00000000-0000-0000-0000-000000000000}"/>
  <bookViews>
    <workbookView xWindow="-120" yWindow="-120" windowWidth="20730" windowHeight="11040" xr2:uid="{8687DA5C-00D1-4C71-B727-D702156BA845}"/>
  </bookViews>
  <sheets>
    <sheet name="CP-1" sheetId="2" r:id="rId1"/>
    <sheet name="CP-2" sheetId="5" r:id="rId2"/>
    <sheet name="CP-3" sheetId="13" r:id="rId3"/>
    <sheet name="CP-4" sheetId="7" r:id="rId4"/>
    <sheet name="CP-5 14001-45001-OSHAS" sheetId="8" r:id="rId5"/>
    <sheet name="CRSS-1" sheetId="10" state="veryHidden" r:id="rId6"/>
    <sheet name="CRSS-2" sheetId="9" state="veryHidden" r:id="rId7"/>
    <sheet name="CRSS-3" sheetId="11" state="veryHidden" r:id="rId8"/>
    <sheet name="CRSS-4" sheetId="12" state="veryHidden" r:id="rId9"/>
    <sheet name="CONTROLS" sheetId="3" state="veryHidden" r:id="rId10"/>
  </sheets>
  <definedNames>
    <definedName name="_xlnm.Print_Area" localSheetId="9">CONTROLS!$L$4:$N$13</definedName>
    <definedName name="_xlnm.Print_Area" localSheetId="0">'CP-1'!$A$1:$X$56</definedName>
    <definedName name="_xlnm.Print_Area" localSheetId="1">'CP-2'!$A$1:$X$68</definedName>
    <definedName name="_xlnm.Print_Area" localSheetId="2">'CP-3'!$A$1:$X$69</definedName>
    <definedName name="_xlnm.Print_Area" localSheetId="3">'CP-4'!$A$1:$X$69</definedName>
    <definedName name="_xlnm.Print_Area" localSheetId="4">'CP-5 14001-45001-OSHAS'!$A$1:$X$76</definedName>
    <definedName name="_xlnm.Print_Area" localSheetId="5">'CRSS-1'!$A$1:$AL$86</definedName>
    <definedName name="_xlnm.Print_Area" localSheetId="6">'CRSS-2'!$A$1:$AK$65</definedName>
    <definedName name="_xlnm.Print_Area" localSheetId="7">'CRSS-3'!$A$1:$AK$70</definedName>
    <definedName name="_xlnm.Print_Area" localSheetId="8">'CRSS-4'!$A$1:$AK$65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46" i="11" l="1"/>
  <c r="P46" i="11"/>
  <c r="Z5" i="9" l="1"/>
  <c r="D63" i="11" l="1"/>
  <c r="N9" i="3" l="1"/>
  <c r="T14" i="10"/>
  <c r="G73" i="10" l="1"/>
  <c r="E17" i="9"/>
  <c r="S14" i="8" l="1"/>
  <c r="O14" i="8"/>
  <c r="K14" i="8"/>
  <c r="O33" i="7"/>
  <c r="M33" i="7"/>
  <c r="Q61" i="11" s="1"/>
  <c r="A34" i="7" l="1"/>
  <c r="V61" i="11"/>
  <c r="D54" i="2"/>
  <c r="S5" i="9" s="1"/>
  <c r="B54" i="2"/>
  <c r="O5" i="9" s="1"/>
  <c r="A1" i="10" l="1"/>
  <c r="A1" i="2"/>
  <c r="E48" i="7" l="1"/>
  <c r="B48" i="7"/>
  <c r="K6" i="9" s="1"/>
  <c r="G5" i="10" l="1"/>
  <c r="I4" i="10"/>
  <c r="W39" i="5" l="1"/>
  <c r="U39" i="5"/>
  <c r="S39" i="5"/>
  <c r="P39" i="5"/>
  <c r="N39" i="5"/>
  <c r="L39" i="5"/>
  <c r="J39" i="5"/>
  <c r="H39" i="5"/>
  <c r="F39" i="5"/>
  <c r="A45" i="5" l="1"/>
  <c r="W6" i="9"/>
  <c r="E30" i="9" l="1"/>
  <c r="E26" i="9"/>
  <c r="E21" i="9"/>
  <c r="I78" i="10"/>
  <c r="T29" i="10"/>
  <c r="T28" i="10"/>
  <c r="T27" i="10"/>
  <c r="T26" i="10"/>
  <c r="T25" i="10"/>
  <c r="T24" i="10"/>
  <c r="T23" i="10"/>
  <c r="T22" i="10"/>
  <c r="T21" i="10"/>
  <c r="T20" i="10"/>
  <c r="T19" i="10"/>
  <c r="T18" i="10"/>
  <c r="T17" i="10"/>
  <c r="T16" i="10"/>
  <c r="T13" i="10"/>
  <c r="T11" i="10"/>
  <c r="C29" i="10"/>
  <c r="C28" i="10"/>
  <c r="C27" i="10"/>
  <c r="C26" i="10"/>
  <c r="C25" i="10"/>
  <c r="C24" i="10"/>
  <c r="C23" i="10"/>
  <c r="C22" i="10"/>
  <c r="C21" i="10"/>
  <c r="C18" i="10"/>
  <c r="C17" i="10"/>
  <c r="C16" i="10"/>
  <c r="C15" i="10"/>
  <c r="C14" i="10"/>
  <c r="C13" i="10"/>
  <c r="C12" i="10"/>
  <c r="P16" i="3" l="1"/>
  <c r="P15" i="3"/>
  <c r="O16" i="3"/>
  <c r="O15" i="3"/>
  <c r="N16" i="3"/>
  <c r="N15" i="3"/>
  <c r="K72" i="10"/>
  <c r="N65" i="10"/>
  <c r="L36" i="5"/>
  <c r="L35" i="5"/>
  <c r="I36" i="5"/>
  <c r="I35" i="5"/>
  <c r="B36" i="5"/>
  <c r="B35" i="5"/>
  <c r="G50" i="2"/>
  <c r="E50" i="2"/>
  <c r="B50" i="2"/>
  <c r="F43" i="2"/>
  <c r="B43" i="2"/>
  <c r="A50" i="2" l="1"/>
  <c r="M4" i="9"/>
  <c r="J4" i="9"/>
  <c r="Q15" i="3"/>
  <c r="Q16" i="3"/>
  <c r="F6" i="12"/>
  <c r="B6" i="12" s="1"/>
  <c r="C6" i="12"/>
  <c r="AD59" i="11"/>
  <c r="AD58" i="11"/>
  <c r="AD57" i="11"/>
  <c r="U60" i="11"/>
  <c r="U59" i="11"/>
  <c r="U58" i="11"/>
  <c r="U57" i="11"/>
  <c r="L59" i="11"/>
  <c r="L58" i="11"/>
  <c r="L57" i="11"/>
  <c r="C60" i="11"/>
  <c r="A59" i="11" s="1"/>
  <c r="C59" i="11"/>
  <c r="C58" i="11"/>
  <c r="F41" i="11"/>
  <c r="B41" i="11" s="1"/>
  <c r="C41" i="11"/>
  <c r="A41" i="11" s="1"/>
  <c r="F38" i="11"/>
  <c r="B38" i="11" s="1"/>
  <c r="C38" i="11"/>
  <c r="F35" i="11"/>
  <c r="B35" i="11" s="1"/>
  <c r="C35" i="11"/>
  <c r="F33" i="11"/>
  <c r="B33" i="11" s="1"/>
  <c r="C33" i="11"/>
  <c r="F31" i="11"/>
  <c r="B31" i="11" s="1"/>
  <c r="C31" i="11"/>
  <c r="A31" i="11" s="1"/>
  <c r="F29" i="11"/>
  <c r="C29" i="11"/>
  <c r="R23" i="11"/>
  <c r="C23" i="11"/>
  <c r="L9" i="11"/>
  <c r="F9" i="11"/>
  <c r="C9" i="11"/>
  <c r="AC5" i="11"/>
  <c r="V5" i="11"/>
  <c r="O5" i="11"/>
  <c r="AA4" i="11"/>
  <c r="T4" i="11"/>
  <c r="A33" i="11" l="1"/>
  <c r="A29" i="11"/>
  <c r="A38" i="11"/>
  <c r="A35" i="11"/>
  <c r="A6" i="12"/>
  <c r="A58" i="11"/>
  <c r="A60" i="11"/>
  <c r="AC78" i="10"/>
  <c r="M4" i="11"/>
  <c r="AE62" i="9"/>
  <c r="X62" i="9"/>
  <c r="Q62" i="9"/>
  <c r="Z61" i="9"/>
  <c r="S61" i="9"/>
  <c r="L61" i="9"/>
  <c r="AB60" i="9"/>
  <c r="U60" i="9"/>
  <c r="N60" i="9"/>
  <c r="AH58" i="9"/>
  <c r="AA58" i="9"/>
  <c r="T58" i="9"/>
  <c r="N56" i="9"/>
  <c r="AB56" i="9"/>
  <c r="U56" i="9"/>
  <c r="Z55" i="9"/>
  <c r="S55" i="9"/>
  <c r="L55" i="9"/>
  <c r="F51" i="9"/>
  <c r="AI50" i="9"/>
  <c r="AE50" i="9"/>
  <c r="AB50" i="9"/>
  <c r="X50" i="9"/>
  <c r="T50" i="9"/>
  <c r="O50" i="9"/>
  <c r="K50" i="9"/>
  <c r="Y45" i="9"/>
  <c r="R45" i="9"/>
  <c r="O45" i="9"/>
  <c r="I45" i="9"/>
  <c r="AG43" i="9"/>
  <c r="AC43" i="9"/>
  <c r="U43" i="9"/>
  <c r="R43" i="9"/>
  <c r="M43" i="9"/>
  <c r="I43" i="9"/>
  <c r="N41" i="9"/>
  <c r="K41" i="9"/>
  <c r="S40" i="9"/>
  <c r="P40" i="9"/>
  <c r="V38" i="9"/>
  <c r="S38" i="9"/>
  <c r="R37" i="9"/>
  <c r="N37" i="9"/>
  <c r="K37" i="9"/>
  <c r="S7" i="9"/>
  <c r="A8" i="9" s="1"/>
  <c r="M7" i="9"/>
  <c r="A7" i="9" l="1"/>
  <c r="O82" i="10"/>
  <c r="B82" i="10" s="1"/>
  <c r="C82" i="10"/>
  <c r="Q74" i="10"/>
  <c r="L74" i="10"/>
  <c r="V70" i="10"/>
  <c r="L70" i="10"/>
  <c r="C70" i="10"/>
  <c r="G68" i="10"/>
  <c r="A68" i="10" s="1"/>
  <c r="C68" i="10"/>
  <c r="AF64" i="10"/>
  <c r="AB64" i="10"/>
  <c r="G54" i="10"/>
  <c r="C54" i="10"/>
  <c r="K50" i="10"/>
  <c r="F50" i="10"/>
  <c r="C48" i="10"/>
  <c r="T46" i="10"/>
  <c r="N46" i="10"/>
  <c r="I46" i="10"/>
  <c r="C46" i="10"/>
  <c r="K42" i="10"/>
  <c r="E42" i="10"/>
  <c r="W40" i="10"/>
  <c r="E40" i="10"/>
  <c r="AC38" i="10"/>
  <c r="W38" i="10"/>
  <c r="K38" i="10"/>
  <c r="E38" i="10"/>
  <c r="W34" i="10"/>
  <c r="Q34" i="10"/>
  <c r="K34" i="10"/>
  <c r="E34" i="10"/>
  <c r="C32" i="10" s="1"/>
  <c r="A82" i="10" l="1"/>
  <c r="B68" i="10"/>
  <c r="C36" i="10"/>
  <c r="A34" i="10" s="1"/>
  <c r="V66" i="7"/>
  <c r="V64" i="7"/>
  <c r="V61" i="7"/>
  <c r="V60" i="7"/>
  <c r="V59" i="7"/>
  <c r="V58" i="7"/>
  <c r="T66" i="7"/>
  <c r="T64" i="7"/>
  <c r="T61" i="7"/>
  <c r="T60" i="7"/>
  <c r="T59" i="7"/>
  <c r="T58" i="7"/>
  <c r="M54" i="7"/>
  <c r="J54" i="7"/>
  <c r="A55" i="7" s="1"/>
  <c r="Q42" i="7"/>
  <c r="J42" i="7"/>
  <c r="B42" i="7"/>
  <c r="W25" i="5"/>
  <c r="W23" i="5"/>
  <c r="W22" i="5"/>
  <c r="T25" i="5"/>
  <c r="T23" i="5"/>
  <c r="T22" i="5"/>
  <c r="D21" i="5"/>
  <c r="B21" i="5"/>
  <c r="K17" i="5"/>
  <c r="F17" i="5"/>
  <c r="B7" i="5"/>
  <c r="N76" i="10" l="1"/>
  <c r="K76" i="10"/>
  <c r="B27" i="2"/>
  <c r="B28" i="2"/>
  <c r="A28" i="2" s="1"/>
  <c r="T27" i="2"/>
  <c r="O27" i="2"/>
  <c r="I27" i="2"/>
  <c r="F27" i="2"/>
  <c r="M23" i="2"/>
  <c r="M22" i="2"/>
  <c r="M21" i="2"/>
  <c r="M20" i="2"/>
  <c r="B23" i="2"/>
  <c r="B22" i="2"/>
  <c r="B21" i="2"/>
  <c r="B20" i="2"/>
  <c r="N13" i="2"/>
  <c r="S14" i="2"/>
  <c r="S13" i="2"/>
  <c r="N14" i="2"/>
  <c r="I14" i="2"/>
  <c r="N12" i="3" s="1"/>
  <c r="C19" i="10" s="1"/>
  <c r="I13" i="2"/>
  <c r="B15" i="2"/>
  <c r="B14" i="2"/>
  <c r="N5" i="3" s="1"/>
  <c r="B13" i="2"/>
  <c r="O11" i="3" l="1"/>
  <c r="U11" i="3" s="1"/>
  <c r="N10" i="3"/>
  <c r="O10" i="3" s="1"/>
  <c r="O13" i="3"/>
  <c r="U13" i="3" s="1"/>
  <c r="N7" i="3"/>
  <c r="N8" i="3"/>
  <c r="T12" i="10" s="1"/>
  <c r="A57" i="8"/>
  <c r="A44" i="8"/>
  <c r="N6" i="3"/>
  <c r="O6" i="3" s="1"/>
  <c r="A18" i="8"/>
  <c r="A29" i="8"/>
  <c r="N1" i="3"/>
  <c r="P1" i="3" s="1"/>
  <c r="N2" i="3"/>
  <c r="P2" i="3" s="1"/>
  <c r="A43" i="8" s="1"/>
  <c r="T13" i="3"/>
  <c r="S13" i="3"/>
  <c r="R13" i="3" s="1"/>
  <c r="T11" i="3"/>
  <c r="S11" i="3"/>
  <c r="R11" i="3" s="1"/>
  <c r="A27" i="2"/>
  <c r="C11" i="10"/>
  <c r="O5" i="3"/>
  <c r="U5" i="3" s="1"/>
  <c r="C20" i="10"/>
  <c r="O12" i="3"/>
  <c r="U12" i="3" s="1"/>
  <c r="O9" i="3"/>
  <c r="U9" i="3" s="1"/>
  <c r="A20" i="2"/>
  <c r="P6" i="9"/>
  <c r="N4" i="3"/>
  <c r="O4" i="3" s="1"/>
  <c r="U4" i="3" s="1"/>
  <c r="A13" i="2"/>
  <c r="O7" i="3"/>
  <c r="U7" i="3" s="1"/>
  <c r="U10" i="3" l="1"/>
  <c r="T10" i="3"/>
  <c r="S10" i="3"/>
  <c r="B18" i="8"/>
  <c r="A17" i="8"/>
  <c r="T7" i="3"/>
  <c r="S7" i="3"/>
  <c r="R7" i="3" s="1"/>
  <c r="T5" i="3"/>
  <c r="S5" i="3"/>
  <c r="R5" i="3" s="1"/>
  <c r="T9" i="3"/>
  <c r="S9" i="3"/>
  <c r="R9" i="3" s="1"/>
  <c r="T12" i="3"/>
  <c r="S12" i="3"/>
  <c r="C10" i="10"/>
  <c r="T15" i="10"/>
  <c r="O8" i="3"/>
  <c r="U8" i="3" s="1"/>
  <c r="T10" i="10"/>
  <c r="U6" i="3"/>
  <c r="B44" i="8"/>
  <c r="B56" i="8"/>
  <c r="B29" i="8"/>
  <c r="R10" i="3" l="1"/>
  <c r="T4" i="3"/>
  <c r="S4" i="3"/>
  <c r="R4" i="3" s="1"/>
  <c r="T6" i="3"/>
  <c r="S6" i="3"/>
  <c r="R6" i="3" s="1"/>
  <c r="T8" i="3"/>
  <c r="S8" i="3"/>
  <c r="R8" i="3" s="1"/>
  <c r="R12" i="3" l="1"/>
  <c r="S3" i="3" s="1"/>
  <c r="V5" i="3" s="1"/>
  <c r="V6" i="3" s="1"/>
  <c r="V7" i="3" s="1"/>
  <c r="W4" i="3"/>
  <c r="Y4" i="3" l="1"/>
  <c r="X4" i="3"/>
  <c r="W5" i="3"/>
  <c r="X5" i="3" l="1"/>
  <c r="W6" i="3"/>
  <c r="Y5" i="3"/>
  <c r="W7" i="3" l="1"/>
  <c r="Y7" i="3" s="1"/>
  <c r="X6" i="3"/>
  <c r="Y6" i="3"/>
  <c r="X7" i="3" l="1"/>
  <c r="V8" i="3"/>
  <c r="X8" i="3" s="1"/>
  <c r="V9" i="3" l="1"/>
  <c r="X9" i="3" s="1"/>
  <c r="W8" i="3"/>
  <c r="Y8" i="3" s="1"/>
  <c r="V10" i="3" l="1"/>
  <c r="X10" i="3" s="1"/>
  <c r="W9" i="3"/>
  <c r="Y9" i="3" s="1"/>
  <c r="V11" i="3" l="1"/>
  <c r="X11" i="3" s="1"/>
  <c r="W10" i="3"/>
  <c r="Y10" i="3" s="1"/>
  <c r="V12" i="3" l="1"/>
  <c r="X12" i="3" s="1"/>
  <c r="W11" i="3"/>
  <c r="Y11" i="3" s="1"/>
  <c r="V13" i="3" l="1"/>
  <c r="X13" i="3" s="1"/>
  <c r="W12" i="3"/>
  <c r="Y12" i="3" s="1"/>
  <c r="W13" i="3" l="1"/>
  <c r="Y13" i="3" s="1"/>
</calcChain>
</file>

<file path=xl/sharedStrings.xml><?xml version="1.0" encoding="utf-8"?>
<sst xmlns="http://schemas.openxmlformats.org/spreadsheetml/2006/main" count="723" uniqueCount="441">
  <si>
    <t>Company Profile</t>
  </si>
  <si>
    <t>Legal Company Name:</t>
  </si>
  <si>
    <t>Date:</t>
  </si>
  <si>
    <t xml:space="preserve">Address: </t>
  </si>
  <si>
    <t>Suite:</t>
  </si>
  <si>
    <t>Phone</t>
  </si>
  <si>
    <t xml:space="preserve">City: </t>
  </si>
  <si>
    <t>State:</t>
  </si>
  <si>
    <t>Fax:</t>
  </si>
  <si>
    <t>Zip Code:</t>
  </si>
  <si>
    <t>Country:</t>
  </si>
  <si>
    <t>Email</t>
  </si>
  <si>
    <t>Person responsible for Management Program(s):</t>
  </si>
  <si>
    <t>Website:</t>
  </si>
  <si>
    <t xml:space="preserve">If the person filling out the form is different  than the person responsible for the Management Program(s), Please list your </t>
  </si>
  <si>
    <t>name:</t>
  </si>
  <si>
    <t>1. Standard(s) Pursuing Certification:</t>
  </si>
  <si>
    <t>ISO 9001:2015 with Design</t>
  </si>
  <si>
    <t>ISO 45001:2018</t>
  </si>
  <si>
    <t>ISO 14001:2015</t>
  </si>
  <si>
    <t>TL 9000:2016</t>
  </si>
  <si>
    <t>ISO 9001:2015 without Design</t>
  </si>
  <si>
    <t>ISO 27001:2013</t>
  </si>
  <si>
    <t>ISO 20000-1:2011</t>
  </si>
  <si>
    <t xml:space="preserve">Other: </t>
  </si>
  <si>
    <r>
      <t>**</t>
    </r>
    <r>
      <rPr>
        <b/>
        <sz val="15.5"/>
        <color theme="1"/>
        <rFont val="Times New Roman"/>
        <family val="1"/>
      </rPr>
      <t>Note:</t>
    </r>
    <r>
      <rPr>
        <sz val="15.5"/>
        <color theme="1"/>
        <rFont val="Times New Roman"/>
        <family val="1"/>
      </rPr>
      <t xml:space="preserve"> Please use the unique Company Profile for the following standards: AS9100, AS9110, AS9120, ISO 13485, e-Stewards, R2, RIOS, BIFMA e3, ISO 50001, VCAP, SFI/PEFC CoC , ISO 22000, FSC 22000 and GWO</t>
    </r>
  </si>
  <si>
    <t>2. How did you learn about Orion?</t>
  </si>
  <si>
    <t>Website (specify)</t>
  </si>
  <si>
    <t>Consultant (specify)</t>
  </si>
  <si>
    <t>Word of Mouth (specify)</t>
  </si>
  <si>
    <t>Tradeshow (specify)</t>
  </si>
  <si>
    <t>Advertisement (specify)</t>
  </si>
  <si>
    <t>Magazine/Newspaper Article (specify)</t>
  </si>
  <si>
    <t>Sales Call (specify)</t>
  </si>
  <si>
    <t xml:space="preserve">Other (specify) </t>
  </si>
  <si>
    <t>General Company Information</t>
  </si>
  <si>
    <t>3. Activities that the organization realizes (performs), Please check all that apply:</t>
  </si>
  <si>
    <t xml:space="preserve"> Service</t>
  </si>
  <si>
    <t xml:space="preserve"> Design</t>
  </si>
  <si>
    <t xml:space="preserve"> Commercialization</t>
  </si>
  <si>
    <t xml:space="preserve"> Manufacture</t>
  </si>
  <si>
    <t>Distribution</t>
  </si>
  <si>
    <t xml:space="preserve"> Other:</t>
  </si>
  <si>
    <t xml:space="preserve">  Activities and/or services that the organization provides: </t>
  </si>
  <si>
    <t>4. List your key processes:</t>
  </si>
  <si>
    <t>5. Do you have any outsourced processes?</t>
  </si>
  <si>
    <t xml:space="preserve"> No</t>
  </si>
  <si>
    <t xml:space="preserve"> Yes, Please list:</t>
  </si>
  <si>
    <t>6. Is ITAR applicable to your facilities or processes?</t>
  </si>
  <si>
    <t xml:space="preserve"> Yes</t>
  </si>
  <si>
    <t xml:space="preserve">No </t>
  </si>
  <si>
    <t>Not Applicable</t>
  </si>
  <si>
    <t xml:space="preserve">7. Do you have security restrictions/ requirements for the areas/processes required by the scope of the </t>
  </si>
  <si>
    <t>audit?</t>
  </si>
  <si>
    <t>No</t>
  </si>
  <si>
    <t>Yes, identify security requirements:</t>
  </si>
  <si>
    <t>Page 1</t>
  </si>
  <si>
    <t xml:space="preserve">  Orion Registrar, Inc. Form FTP 05014-10.0 © 2020</t>
  </si>
  <si>
    <t xml:space="preserve"> Revised 06 16 2020</t>
  </si>
  <si>
    <t>8. Indicate any Certification(s) that the organization has:</t>
  </si>
  <si>
    <t>What organization granted the certificate:</t>
  </si>
  <si>
    <t>Date of last audit:</t>
  </si>
  <si>
    <t xml:space="preserve">Issue Date: </t>
  </si>
  <si>
    <t>Expiration. Date:</t>
  </si>
  <si>
    <t>(Please Attach a Copy of Your Certificate)</t>
  </si>
  <si>
    <t>Current Audit Cycle</t>
  </si>
  <si>
    <t>Every 6 months</t>
  </si>
  <si>
    <t xml:space="preserve"> Every year</t>
  </si>
  <si>
    <t xml:space="preserve">9. Do you have more than one facility that will be certified? </t>
  </si>
  <si>
    <t>Yes, Please answer questions A thru C.</t>
  </si>
  <si>
    <t>A. Will all the facilities be included on the same certificate?</t>
  </si>
  <si>
    <t>Yes</t>
  </si>
  <si>
    <t>B.  Do all the facilities operate under the same management manual?</t>
  </si>
  <si>
    <t xml:space="preserve">C. Does your company already have locations certified to these </t>
  </si>
  <si>
    <t>standards?</t>
  </si>
  <si>
    <t>If yes, describe any cooperation and/or knowledge transfer regarding conformance to the standard</t>
  </si>
  <si>
    <t>between your site and the certified site(s):      </t>
  </si>
  <si>
    <r>
      <t xml:space="preserve">10. </t>
    </r>
    <r>
      <rPr>
        <b/>
        <sz val="18"/>
        <color rgb="FFFF0000"/>
        <rFont val="Times New Roman"/>
        <family val="1"/>
      </rPr>
      <t>**REQUIRED**</t>
    </r>
    <r>
      <rPr>
        <b/>
        <sz val="18"/>
        <color theme="1"/>
        <rFont val="Times New Roman"/>
        <family val="1"/>
      </rPr>
      <t xml:space="preserve"> Please complete the chart below for each facility that will be certified regardless</t>
    </r>
  </si>
  <si>
    <t xml:space="preserve">     of your answer to question above. </t>
  </si>
  <si>
    <t>Site Profile-With One Shift Only</t>
  </si>
  <si>
    <t>Location</t>
  </si>
  <si>
    <t>No. of Workers</t>
  </si>
  <si>
    <t>Hours of Operations &amp;Comments</t>
  </si>
  <si>
    <t>Office</t>
  </si>
  <si>
    <t>Production*</t>
  </si>
  <si>
    <t>If Site Number exceeds 2, Please attach additional site information</t>
  </si>
  <si>
    <t>*Production Workers are the workers performing the main activity or service.</t>
  </si>
  <si>
    <t>Site Profile-With more than One Shift</t>
  </si>
  <si>
    <t>Location (s) and Address</t>
  </si>
  <si>
    <t>Number of Workers and Shift Hours</t>
  </si>
  <si>
    <t>1st Shift</t>
  </si>
  <si>
    <t>2nd Shift</t>
  </si>
  <si>
    <t>3rd  Shift</t>
  </si>
  <si>
    <t>Hours</t>
  </si>
  <si>
    <t>Production</t>
  </si>
  <si>
    <t>(i.e. 8-5)</t>
  </si>
  <si>
    <t>Workers</t>
  </si>
  <si>
    <t>(i.e. 4-12)</t>
  </si>
  <si>
    <t>(i.e. 12-8)</t>
  </si>
  <si>
    <t xml:space="preserve">If Rotating Shifts, document the type of shifts and Shift Hours: </t>
  </si>
  <si>
    <t>If Site Number exceeds 2, Please attach the additional site information</t>
  </si>
  <si>
    <t>Please complete the applicable tables below that applies to your company because the additional information could reduce audit</t>
  </si>
  <si>
    <t>cost</t>
  </si>
  <si>
    <t>DISTRIBUTION COMPANY</t>
  </si>
  <si>
    <t>Repetitive Activities</t>
  </si>
  <si>
    <t>Percent of Total Production Workers performing this activity</t>
  </si>
  <si>
    <t>Material Handlers</t>
  </si>
  <si>
    <t>%</t>
  </si>
  <si>
    <t>Forklift Drivers</t>
  </si>
  <si>
    <t>Packaging</t>
  </si>
  <si>
    <t>Order taking/order identification</t>
  </si>
  <si>
    <t>Picking</t>
  </si>
  <si>
    <t>Support Activities</t>
  </si>
  <si>
    <t>Maintenance</t>
  </si>
  <si>
    <t>Transportation</t>
  </si>
  <si>
    <t>Other: list worker activity</t>
  </si>
  <si>
    <t>Page 2</t>
  </si>
  <si>
    <t>MECHANICAL MANUFACTURING ( Includes Injection Molding )</t>
  </si>
  <si>
    <t>Machinist</t>
  </si>
  <si>
    <t>Injection Molding Operator</t>
  </si>
  <si>
    <t>Assembly</t>
  </si>
  <si>
    <t>Inspection and Test</t>
  </si>
  <si>
    <t>Warehouse</t>
  </si>
  <si>
    <t>ELECTRICAL EQUIPMENT MANUFACTURING</t>
  </si>
  <si>
    <t xml:space="preserve">Repetitive Activities </t>
  </si>
  <si>
    <t>Cable Assemblies/Wiring</t>
  </si>
  <si>
    <t>TRANSPORTATION COMPANIES</t>
  </si>
  <si>
    <t>Drivers</t>
  </si>
  <si>
    <t>Mechanics (Repair)</t>
  </si>
  <si>
    <t>Scheduling</t>
  </si>
  <si>
    <t>Trainers</t>
  </si>
  <si>
    <t>SERVICE COMPANIES</t>
  </si>
  <si>
    <t>Call Center Customer Service Personnel</t>
  </si>
  <si>
    <t>Cleaners (Specific Type of Cleaners )</t>
  </si>
  <si>
    <t>Translators</t>
  </si>
  <si>
    <t>Security</t>
  </si>
  <si>
    <t>Sales</t>
  </si>
  <si>
    <t>Other - list activity</t>
  </si>
  <si>
    <t>Page 3</t>
  </si>
  <si>
    <t>MISCELLANEOUS COMPANIES</t>
  </si>
  <si>
    <t>Repetitive Activities - List</t>
  </si>
  <si>
    <t>Occupational Health and Safety Contractor/Subcontractors Personnel</t>
  </si>
  <si>
    <t>For ISO 45001 Certification, list the number of contractors/subcontractors personnel performing work or work related</t>
  </si>
  <si>
    <t xml:space="preserve">activities that are under the control or influence of the organization: </t>
  </si>
  <si>
    <t>11. What is the Primary Language at the facilities?</t>
  </si>
  <si>
    <t xml:space="preserve">12. Do you have temporary or installation sites?  </t>
  </si>
  <si>
    <t xml:space="preserve">Yes, please describe or identify location(s) below: </t>
  </si>
  <si>
    <t xml:space="preserve">Note: Temporary site is defined as a location (physical or virtual) where a client organization  performs specific work or provides a service for a finite </t>
  </si>
  <si>
    <t xml:space="preserve">period of time and which is not intended to become a permanent site.  Temporary sites could range from major project management sites to minor </t>
  </si>
  <si>
    <t>service/installation sites.</t>
  </si>
  <si>
    <t xml:space="preserve">13. Indicate the stage and percentage that your Management System is currently implemented: </t>
  </si>
  <si>
    <t>Documentation</t>
  </si>
  <si>
    <t>Implementation</t>
  </si>
  <si>
    <t>Internal Audit</t>
  </si>
  <si>
    <t>*The Documentation stage includes the manual and procedure.</t>
  </si>
  <si>
    <t>*The Implementation stage has to have objective evidence</t>
  </si>
  <si>
    <t xml:space="preserve">14. Did you use a consulting service to implement and/or develop your Management System? </t>
  </si>
  <si>
    <t xml:space="preserve">Yes, Name of Consultant(s) (specific person): </t>
  </si>
  <si>
    <t>15. Preferred dates for Certification activities:</t>
  </si>
  <si>
    <t>Pre-Audit:</t>
  </si>
  <si>
    <t>Stage 1:</t>
  </si>
  <si>
    <t>Stage 2:</t>
  </si>
  <si>
    <t>16. Surveillance Interval Requested:</t>
  </si>
  <si>
    <t xml:space="preserve">Annual   </t>
  </si>
  <si>
    <t>Semi-annual</t>
  </si>
  <si>
    <t xml:space="preserve">17. If requesting more than one Standard to be Certified and if using Combined Management or </t>
  </si>
  <si>
    <t>Integrated Management Systems for the Certification, please answer the following questions:</t>
  </si>
  <si>
    <t>Do you have integrated procedures for the Management System Functions?</t>
  </si>
  <si>
    <t>Do you have an integrated Management Review for all the standards being pursued for certification?</t>
  </si>
  <si>
    <t>Do you have integrated internal audits for all the standards being pursued for certification?</t>
  </si>
  <si>
    <t>Do you have integrated improvement mechanism (such as corrective action process, preventative</t>
  </si>
  <si>
    <t xml:space="preserve">action processes, continual improvement process as applicable for all the standards being pursued </t>
  </si>
  <si>
    <t>for certification?</t>
  </si>
  <si>
    <t>Do you have an integrated approach to planning and resources for all standards being pursued for</t>
  </si>
  <si>
    <t>certification?</t>
  </si>
  <si>
    <t>Is there unified management support and responsibilities for all standards being pursued for</t>
  </si>
  <si>
    <t>Page 4</t>
  </si>
  <si>
    <t xml:space="preserve">18. For each Standard, indicate any clause(s) that are not applicable or excluded and any clause(s) </t>
  </si>
  <si>
    <r>
      <t>are not included in the certification scope</t>
    </r>
    <r>
      <rPr>
        <sz val="18"/>
        <color theme="1"/>
        <rFont val="Times New Roman"/>
        <family val="1"/>
      </rPr>
      <t xml:space="preserve"> (if applicable) </t>
    </r>
  </si>
  <si>
    <t>Specific Standard Certification Questions</t>
  </si>
  <si>
    <t>19. For TL 9000 Certification only:</t>
  </si>
  <si>
    <t xml:space="preserve">Which Option(s) are being pursued? </t>
  </si>
  <si>
    <t>Hardware (H)</t>
  </si>
  <si>
    <t>Software (S)</t>
  </si>
  <si>
    <t xml:space="preserve"> Services (V)</t>
  </si>
  <si>
    <t>Please list product categories that will be covered:      </t>
  </si>
  <si>
    <t>List the revision of TL/Measurement Handbook requesting certification:      </t>
  </si>
  <si>
    <t>Page 5</t>
  </si>
  <si>
    <t>Contract Review and Setup Sheet</t>
  </si>
  <si>
    <t>Company Name:</t>
  </si>
  <si>
    <t>Address:</t>
  </si>
  <si>
    <t>Standard &amp; Codes</t>
  </si>
  <si>
    <t>Note: Check Sandards Requesting Certification</t>
  </si>
  <si>
    <t>√</t>
  </si>
  <si>
    <t>Standard</t>
  </si>
  <si>
    <t>IAF</t>
  </si>
  <si>
    <t>OEE</t>
  </si>
  <si>
    <t>ISO 9001:2015 with design</t>
  </si>
  <si>
    <t>ISO 9001:2015 without design</t>
  </si>
  <si>
    <t>TL 9001:2016</t>
  </si>
  <si>
    <t>ISO 13485:2016 with design</t>
  </si>
  <si>
    <t>X</t>
  </si>
  <si>
    <t>ISO 13485:2016 without design</t>
  </si>
  <si>
    <t>e-Stewards 4.0</t>
  </si>
  <si>
    <t>AS9100:2016 with design</t>
  </si>
  <si>
    <t>R2v3</t>
  </si>
  <si>
    <t>AS9100:2016 without design</t>
  </si>
  <si>
    <t>RIOS:2016</t>
  </si>
  <si>
    <t>AS9110:2016 with design</t>
  </si>
  <si>
    <t>SFI CoC</t>
  </si>
  <si>
    <t>AS9110:2016 without design</t>
  </si>
  <si>
    <t>PEFC CoC:</t>
  </si>
  <si>
    <t>AS9120:2016</t>
  </si>
  <si>
    <t>BIFMA e3:</t>
  </si>
  <si>
    <t>ESD 20.20</t>
  </si>
  <si>
    <t>ISO 27701:2019</t>
  </si>
  <si>
    <t>ISO 20000:2011</t>
  </si>
  <si>
    <t>SN9001:2016</t>
  </si>
  <si>
    <t>ISO 22000:</t>
  </si>
  <si>
    <t>ISO 50001:2018</t>
  </si>
  <si>
    <t>FSCC 22000:</t>
  </si>
  <si>
    <t>FAA AC 00-56B</t>
  </si>
  <si>
    <t>HACCP</t>
  </si>
  <si>
    <t>ISO 22301:2013</t>
  </si>
  <si>
    <t>C-TPAT</t>
  </si>
  <si>
    <t>VCAP</t>
  </si>
  <si>
    <t>ASME NQA-1</t>
  </si>
  <si>
    <t>Other:</t>
  </si>
  <si>
    <t xml:space="preserve">    Site Classification:</t>
  </si>
  <si>
    <t>Single Site</t>
  </si>
  <si>
    <t>One Site</t>
  </si>
  <si>
    <t>Campus</t>
  </si>
  <si>
    <t>Virtual Site</t>
  </si>
  <si>
    <t>Temporary Site</t>
  </si>
  <si>
    <t>Multiple Site</t>
  </si>
  <si>
    <t>Site Sampled</t>
  </si>
  <si>
    <t>Individual Certificate for Each Site</t>
  </si>
  <si>
    <t>Virtual Site(s)</t>
  </si>
  <si>
    <t>Temporray Site(s)</t>
  </si>
  <si>
    <t>Multiple Site, Not Sampled. Treat as Single Site</t>
  </si>
  <si>
    <t>Two or More Not Elegible- Treat as Single Site</t>
  </si>
  <si>
    <t>Several Site</t>
  </si>
  <si>
    <t>Complex</t>
  </si>
  <si>
    <t xml:space="preserve">    AS Site Classification:</t>
  </si>
  <si>
    <t>Category 1</t>
  </si>
  <si>
    <t>Category 2</t>
  </si>
  <si>
    <t xml:space="preserve">    SN 9001 Site Classification:</t>
  </si>
  <si>
    <t>Single Site with Temporary Location</t>
  </si>
  <si>
    <t xml:space="preserve">    Independent branch offices are required to have their own ISO 9001 and SN 9001 audit and certification.</t>
  </si>
  <si>
    <t xml:space="preserve">    Note: Construction sites, installation sites (including for TL9000), and other non-permanent sites are temporary sites.</t>
  </si>
  <si>
    <t xml:space="preserve">    General Client Information/ Classification Required</t>
  </si>
  <si>
    <t xml:space="preserve">    Note: If information is already in The Hunter, the General and Specific Client Information</t>
  </si>
  <si>
    <t xml:space="preserve">    does not have to be completed for the data for the client. If not using The Hunter the</t>
  </si>
  <si>
    <t xml:space="preserve">    information beow is required to be completed.</t>
  </si>
  <si>
    <t xml:space="preserve">    Is the General Client and Specific Client information in The Hunter</t>
  </si>
  <si>
    <t xml:space="preserve">    Certification Scope If Know (list):</t>
  </si>
  <si>
    <t xml:space="preserve">    Was Requested Certification Scope in Orion's Accreditation?</t>
  </si>
  <si>
    <t>No (Select Reason):</t>
  </si>
  <si>
    <t>Scope Extension</t>
  </si>
  <si>
    <t>Reject Applicant</t>
  </si>
  <si>
    <t>Non- Accredited Certificate</t>
  </si>
  <si>
    <t xml:space="preserve">    Exclusions List:</t>
  </si>
  <si>
    <t xml:space="preserve">    Exclusions/ NA Appear Proper?</t>
  </si>
  <si>
    <t>No, Action is Required</t>
  </si>
  <si>
    <t xml:space="preserve">    Combined/ Integrated Audit:</t>
  </si>
  <si>
    <t xml:space="preserve">    Number of Employees:</t>
  </si>
  <si>
    <t>Effective Number of Employees:</t>
  </si>
  <si>
    <t>Shifts:</t>
  </si>
  <si>
    <t xml:space="preserve">    Review the Appropriate Audit Time Worksheet. Is the audit time:</t>
  </si>
  <si>
    <t>Acceptable. No further action required</t>
  </si>
  <si>
    <t>Not Acceptable. Further action required (list):</t>
  </si>
  <si>
    <t>Confidential Information for Orion Registrar, Inc. Use Only, © Copyright 2020, Orion Registrar Inc.</t>
  </si>
  <si>
    <t xml:space="preserve">   Page 1 of 4</t>
  </si>
  <si>
    <t>Orion Registrar, Inc. Form FMP 03000-9.0 Revised 03/31/2021</t>
  </si>
  <si>
    <t xml:space="preserve">    Is ITAR applicable?</t>
  </si>
  <si>
    <t xml:space="preserve"> </t>
  </si>
  <si>
    <t xml:space="preserve">    Additional Security Requirements?</t>
  </si>
  <si>
    <t>Yes, list requirements:</t>
  </si>
  <si>
    <t xml:space="preserve">    Was a consultant used?</t>
  </si>
  <si>
    <t xml:space="preserve">Yes, Name of Individual: </t>
  </si>
  <si>
    <t xml:space="preserve">    Does Conflict of Interest Exist?</t>
  </si>
  <si>
    <t xml:space="preserve">Yes, Document Controls for Conflict of Interest: </t>
  </si>
  <si>
    <t xml:space="preserve">    Specific Standards Information/Classification Required</t>
  </si>
  <si>
    <t xml:space="preserve">    TL 9000</t>
  </si>
  <si>
    <t>•</t>
  </si>
  <si>
    <t xml:space="preserve">Options (H-Hardware, S-Software, V-Services) list: </t>
  </si>
  <si>
    <t xml:space="preserve">List Product Categories: </t>
  </si>
  <si>
    <t xml:space="preserve">List Revision of TL/Measurement Handbook: </t>
  </si>
  <si>
    <t xml:space="preserve">    ISO 14001</t>
  </si>
  <si>
    <t xml:space="preserve">List the three most significant environmental aspects: </t>
  </si>
  <si>
    <t xml:space="preserve">List the three most significant environmental impacts and objectives: </t>
  </si>
  <si>
    <t xml:space="preserve">    OHSAS 18001/ISO 45001</t>
  </si>
  <si>
    <t>List the three most significant Occupational Health &amp; Safety Hazards:</t>
  </si>
  <si>
    <t xml:space="preserve">List the three most significant Occupational Health &amp; Safety Risks: </t>
  </si>
  <si>
    <t xml:space="preserve">    R2v3</t>
  </si>
  <si>
    <t>Number of Focus Material Downstream Vendors to first certified R2v3:</t>
  </si>
  <si>
    <t>Number of buildings:</t>
  </si>
  <si>
    <t>R2 Allowances:</t>
  </si>
  <si>
    <t>Broker</t>
  </si>
  <si>
    <t>Focus Material Processor</t>
  </si>
  <si>
    <t xml:space="preserve">EH&amp;S Accredited Certification by another CB?  </t>
  </si>
  <si>
    <t xml:space="preserve">    e-Stewards</t>
  </si>
  <si>
    <t xml:space="preserve">Additional Facilities within the country </t>
  </si>
  <si>
    <t xml:space="preserve">Ancillary Sites: </t>
  </si>
  <si>
    <t xml:space="preserve">    BIFMA e3</t>
  </si>
  <si>
    <t xml:space="preserve">  Category: </t>
  </si>
  <si>
    <t>Accessories</t>
  </si>
  <si>
    <t>Case Goods</t>
  </si>
  <si>
    <t>Desk</t>
  </si>
  <si>
    <t>Free Standing Furniture</t>
  </si>
  <si>
    <t>Seating</t>
  </si>
  <si>
    <t>Storage</t>
  </si>
  <si>
    <t>System Furniture</t>
  </si>
  <si>
    <t>Tables</t>
  </si>
  <si>
    <t>Tables/Work Systems</t>
  </si>
  <si>
    <t>Other</t>
  </si>
  <si>
    <t xml:space="preserve">    ISO 22301</t>
  </si>
  <si>
    <t>Number of Business Impact Analysis (BIA):</t>
  </si>
  <si>
    <t>Number of Business Unit Continuity Plans Implemented:</t>
  </si>
  <si>
    <t xml:space="preserve">    ISO 50001</t>
  </si>
  <si>
    <t xml:space="preserve">Energy Sources: </t>
  </si>
  <si>
    <t>Electricity</t>
  </si>
  <si>
    <t xml:space="preserve">Natural gas </t>
  </si>
  <si>
    <t xml:space="preserve">Propane </t>
  </si>
  <si>
    <t xml:space="preserve">Fuel oil </t>
  </si>
  <si>
    <t xml:space="preserve">Coal </t>
  </si>
  <si>
    <t>Wood</t>
  </si>
  <si>
    <t>Peat</t>
  </si>
  <si>
    <t>Other, list:  </t>
  </si>
  <si>
    <t>Number of Significant Energy uses identified:</t>
  </si>
  <si>
    <t>Total Energy Consumption (TJ):</t>
  </si>
  <si>
    <t xml:space="preserve">    ISO 27001</t>
  </si>
  <si>
    <t>Complexity of ISMS:</t>
  </si>
  <si>
    <t xml:space="preserve">Reduced Effort (R) </t>
  </si>
  <si>
    <t>Normal Effort (N)</t>
  </si>
  <si>
    <t>Increased Effort (I)</t>
  </si>
  <si>
    <t>Type(s) of business performed:</t>
  </si>
  <si>
    <t>Reduced Effort ®</t>
  </si>
  <si>
    <t>Previously demonstrated performance of ISMS:  (R, N, I)</t>
  </si>
  <si>
    <t xml:space="preserve"> Increased </t>
  </si>
  <si>
    <t>Effort (I)</t>
  </si>
  <si>
    <t>Extent/diversity of technology:</t>
  </si>
  <si>
    <t xml:space="preserve"> Increased Effort (I)</t>
  </si>
  <si>
    <t>Extent of outsourcing:</t>
  </si>
  <si>
    <t xml:space="preserve">Extent of information system development: </t>
  </si>
  <si>
    <t xml:space="preserve">   Page 2 of 4</t>
  </si>
  <si>
    <t>Business Processes and tasks:</t>
  </si>
  <si>
    <t xml:space="preserve">Number of Disaster Recovery Sites: </t>
  </si>
  <si>
    <t xml:space="preserve">    Transfers:</t>
  </si>
  <si>
    <t xml:space="preserve">    Transfers (Type)</t>
  </si>
  <si>
    <t>TE</t>
  </si>
  <si>
    <t>TE-Site Visited</t>
  </si>
  <si>
    <t xml:space="preserve"> AS Transfer</t>
  </si>
  <si>
    <t xml:space="preserve">    Review multi-site Evaluations, to assure the applicable requirements of MD 1, or TP05 are applied.</t>
  </si>
  <si>
    <t>Eligibility Requirements (Company Profile)</t>
  </si>
  <si>
    <t>Identification of HQ, and other sites (Company Profile)</t>
  </si>
  <si>
    <t>Proper Sample Size  (Quote)</t>
  </si>
  <si>
    <t>Preliminary Sample Plan (Quote)</t>
  </si>
  <si>
    <t>Eligibility requirements attached to Quote</t>
  </si>
  <si>
    <t xml:space="preserve">Not Acceptable.  Further action required: </t>
  </si>
  <si>
    <t>Suggested Lead Auditors</t>
  </si>
  <si>
    <t>Suggested Auditors</t>
  </si>
  <si>
    <t xml:space="preserve">    Are Financial Aspects Correct?</t>
  </si>
  <si>
    <t>No, Correct Quotation</t>
  </si>
  <si>
    <t xml:space="preserve">    Additional Information Needed by Orion?</t>
  </si>
  <si>
    <t>Yes, Please list:       </t>
  </si>
  <si>
    <t xml:space="preserve">    Does Orion Have the Proper Resources to Conduct the Audit?</t>
  </si>
  <si>
    <t>No, Please specify how to meet resource requirements:       </t>
  </si>
  <si>
    <t xml:space="preserve">    Stage 1 to be conducted onsite or ICT?</t>
  </si>
  <si>
    <t>Onsite</t>
  </si>
  <si>
    <t>ICT</t>
  </si>
  <si>
    <t xml:space="preserve">    Stage 1 and 2 to be performed back-to-back?</t>
  </si>
  <si>
    <t>Yes, Provide Justification:          </t>
  </si>
  <si>
    <r>
      <t xml:space="preserve">Note: For R2v3, Back-to-Back, add one additional audit day.  </t>
    </r>
    <r>
      <rPr>
        <sz val="18"/>
        <color theme="1"/>
        <rFont val="Times New Roman"/>
        <family val="1"/>
      </rPr>
      <t>Note: For AS, Back-to-Back Stage 1 &amp;2 can not be performed</t>
    </r>
  </si>
  <si>
    <t xml:space="preserve">    Is the Contract Acceptable (Application for Certification Services)?</t>
  </si>
  <si>
    <t xml:space="preserve">  Yes</t>
  </si>
  <si>
    <t xml:space="preserve"> No, Please Explain:       </t>
  </si>
  <si>
    <t xml:space="preserve">    Audit Program Determination </t>
  </si>
  <si>
    <t xml:space="preserve">    If the audit is an AS9100, AS9110, or AS9120 audit the Audit Program is determinated by the auditor and this section is not</t>
  </si>
  <si>
    <t xml:space="preserve">    applicable.</t>
  </si>
  <si>
    <t xml:space="preserve">    Is the contract for AS9100 or AS9110 or AS9120?       </t>
  </si>
  <si>
    <t>Applicable PAW Logic</t>
  </si>
  <si>
    <t>X Management</t>
  </si>
  <si>
    <t>Infrastructure</t>
  </si>
  <si>
    <t>Vendor Management</t>
  </si>
  <si>
    <t>Operations</t>
  </si>
  <si>
    <t>Material Management</t>
  </si>
  <si>
    <t>Planning/Program</t>
  </si>
  <si>
    <t>Design</t>
  </si>
  <si>
    <t>Calibration</t>
  </si>
  <si>
    <t>Quote/Contract</t>
  </si>
  <si>
    <t>Emergency Preparedness</t>
  </si>
  <si>
    <t>ISO 50001 Energy Perf.</t>
  </si>
  <si>
    <t>ISO 13485 Duel Cert</t>
  </si>
  <si>
    <t>Other, list: </t>
  </si>
  <si>
    <t>Other, list:</t>
  </si>
  <si>
    <t>Temporary/Installation/Construction Sites</t>
  </si>
  <si>
    <t xml:space="preserve"> Yes, list additional information below</t>
  </si>
  <si>
    <t>Applicable ?</t>
  </si>
  <si>
    <t>Note: For R2v3 in addition to this form  it is a requirement to use the R2v3 Contract Review Checklist.</t>
  </si>
  <si>
    <t xml:space="preserve">   Page 3 of 4</t>
  </si>
  <si>
    <t xml:space="preserve">    Conclusion:</t>
  </si>
  <si>
    <t xml:space="preserve">    Are the results of the Contract Review Acceptable?</t>
  </si>
  <si>
    <t xml:space="preserve"> No, list further actions: </t>
  </si>
  <si>
    <t>Orion Reviewed By:</t>
  </si>
  <si>
    <t xml:space="preserve">Copy of Contract Mailed to Client: (Initial and Date): </t>
  </si>
  <si>
    <t xml:space="preserve">   Page 4 of 4</t>
  </si>
  <si>
    <t>CP-1</t>
  </si>
  <si>
    <t>CP-2</t>
  </si>
  <si>
    <t>CP-3</t>
  </si>
  <si>
    <t>CRSS-1</t>
  </si>
  <si>
    <t>CRSS-3</t>
  </si>
  <si>
    <t>CRSS-4</t>
  </si>
  <si>
    <t>ISO 14001</t>
  </si>
  <si>
    <t>45001-OSHAS</t>
  </si>
  <si>
    <t>Esta seccion de formulas se elimino al quitar elPunto 17 de la version anterior</t>
  </si>
  <si>
    <t>OHSAS 18001:2007</t>
  </si>
  <si>
    <t>ISO 22001:2018</t>
  </si>
  <si>
    <t>ISO 39001:2012</t>
  </si>
  <si>
    <t>Turnos 1</t>
  </si>
  <si>
    <t>Turnos 2</t>
  </si>
  <si>
    <t>Invisibles Systems México, sociedad de responsabilidad limitada de capital variable.</t>
  </si>
  <si>
    <t>Juarez</t>
  </si>
  <si>
    <t>Chihuahua</t>
  </si>
  <si>
    <t>Mexico</t>
  </si>
  <si>
    <t>656 3776830</t>
  </si>
  <si>
    <t>gabriela@ismco.mx</t>
  </si>
  <si>
    <t>Gabriela Camargo</t>
  </si>
  <si>
    <t>N/A</t>
  </si>
  <si>
    <t>A friend</t>
  </si>
  <si>
    <t>Inspeccion de Recibo, Almacen,  Produccion, Recursos Humanos, Compras, Calidad, Embarques, Ingenieria, 
Planeación y Control de Producción, Mantenimiento.</t>
  </si>
  <si>
    <t>Espanol</t>
  </si>
  <si>
    <t>Agosto</t>
  </si>
  <si>
    <t>Septiembre</t>
  </si>
  <si>
    <t>Octubre</t>
  </si>
  <si>
    <t xml:space="preserve">	8.3 El diseño y desarrollo de los Requerimientos del ISO 9001:2015 ha sido excluido debido a que Invisibles Systems no desarrolla el diseño de producto.
	8.5.3 Adicionalmente Invisibles Systems MX no cuenta con equipo propiedad del cliente, debido a que todo el equipo es propiedad de Trackonomy Systems.
</t>
  </si>
  <si>
    <t>n/a</t>
  </si>
  <si>
    <t>7 - 4:30</t>
  </si>
  <si>
    <t xml:space="preserve">Chimeneas </t>
  </si>
  <si>
    <t xml:space="preserve">El alcance del Sistema de Calidad de Invisibles Systems MX, es la producción, programación prueba, inspección y envío de sensores de traqueo de múltiples familias. </t>
  </si>
  <si>
    <t>Chimeneas 5050. Parque Industrial Juarez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</si>
</sst>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 d\,\ yyyy;@"/>
  </numFmts>
  <fonts count="6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b/>
      <sz val="18"/>
      <color theme="1"/>
      <name val="Times New Roman"/>
      <family val="1"/>
    </font>
    <font>
      <sz val="10"/>
      <color theme="1"/>
      <name val="Times New Roman"/>
      <family val="1"/>
    </font>
    <font>
      <sz val="16"/>
      <color theme="1"/>
      <name val="Times New Roman"/>
      <family val="1"/>
    </font>
    <font>
      <sz val="14"/>
      <color theme="1"/>
      <name val="Times New Roman"/>
      <family val="1"/>
    </font>
    <font>
      <b/>
      <sz val="24"/>
      <color theme="1"/>
      <name val="Times New Roman"/>
      <family val="1"/>
    </font>
    <font>
      <sz val="15"/>
      <color theme="1"/>
      <name val="Times New Roman"/>
      <family val="1"/>
    </font>
    <font>
      <sz val="15.5"/>
      <color theme="1"/>
      <name val="Times New Roman"/>
      <family val="1"/>
    </font>
    <font>
      <b/>
      <sz val="28"/>
      <color theme="1"/>
      <name val="Times New Roman"/>
      <family val="1"/>
    </font>
    <font>
      <b/>
      <sz val="20"/>
      <color theme="0"/>
      <name val="Wingdings 2"/>
      <family val="1"/>
      <charset val="2"/>
    </font>
    <font>
      <b/>
      <sz val="18"/>
      <color rgb="FFFF0000"/>
      <name val="Times New Roman"/>
      <family val="1"/>
    </font>
    <font>
      <sz val="8"/>
      <name val="Calibri"/>
      <family val="2"/>
      <scheme val="minor"/>
    </font>
    <font>
      <b/>
      <sz val="15"/>
      <color theme="1"/>
      <name val="Times New Roman"/>
      <family val="1"/>
    </font>
    <font>
      <b/>
      <sz val="10"/>
      <color theme="1"/>
      <name val="Times New Roman"/>
      <family val="1"/>
    </font>
    <font>
      <sz val="13"/>
      <color theme="1"/>
      <name val="Times New Roman"/>
      <family val="1"/>
    </font>
    <font>
      <sz val="18"/>
      <color theme="1"/>
      <name val="Times New Roman"/>
      <family val="1"/>
    </font>
    <font>
      <b/>
      <sz val="16"/>
      <color theme="1"/>
      <name val="Times New Roman"/>
      <family val="1"/>
    </font>
    <font>
      <b/>
      <sz val="20"/>
      <color theme="1"/>
      <name val="Times New Roman"/>
      <family val="1"/>
    </font>
    <font>
      <sz val="12"/>
      <color theme="1"/>
      <name val="Calibri"/>
      <family val="2"/>
      <scheme val="minor"/>
    </font>
    <font>
      <b/>
      <sz val="22"/>
      <color theme="1"/>
      <name val="Times New Roman"/>
      <family val="1"/>
    </font>
    <font>
      <b/>
      <sz val="19"/>
      <color theme="1"/>
      <name val="Times New Roman"/>
      <family val="1"/>
    </font>
    <font>
      <sz val="19"/>
      <color theme="1"/>
      <name val="Times New Roman"/>
      <family val="1"/>
    </font>
    <font>
      <b/>
      <sz val="26"/>
      <color theme="1"/>
      <name val="Times New Roman"/>
      <family val="1"/>
    </font>
    <font>
      <sz val="20"/>
      <color theme="1"/>
      <name val="Times New Roman"/>
      <family val="1"/>
    </font>
    <font>
      <b/>
      <sz val="40"/>
      <color theme="1"/>
      <name val="Times New Roman"/>
      <family val="1"/>
    </font>
    <font>
      <b/>
      <sz val="24"/>
      <color rgb="FFFF0000"/>
      <name val="Times New Roman"/>
      <family val="1"/>
    </font>
    <font>
      <sz val="24"/>
      <color theme="1"/>
      <name val="Times New Roman"/>
      <family val="1"/>
    </font>
    <font>
      <i/>
      <sz val="19"/>
      <color theme="1"/>
      <name val="Times New Roman"/>
      <family val="1"/>
    </font>
    <font>
      <b/>
      <sz val="26"/>
      <color rgb="FFFF0000"/>
      <name val="Times New Roman"/>
      <family val="1"/>
    </font>
    <font>
      <b/>
      <i/>
      <sz val="19"/>
      <color theme="1"/>
      <name val="Times New Roman"/>
      <family val="1"/>
    </font>
    <font>
      <sz val="22"/>
      <color theme="1"/>
      <name val="Times New Roman"/>
      <family val="1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Symbol"/>
      <family val="1"/>
      <charset val="2"/>
    </font>
    <font>
      <sz val="26"/>
      <color theme="1"/>
      <name val="Times New Roman"/>
      <family val="1"/>
    </font>
    <font>
      <i/>
      <sz val="22"/>
      <color theme="1"/>
      <name val="Times New Roman"/>
      <family val="1"/>
    </font>
    <font>
      <b/>
      <sz val="18"/>
      <color theme="0"/>
      <name val="Times New Roman"/>
      <family val="1"/>
    </font>
    <font>
      <u/>
      <sz val="11"/>
      <color theme="10"/>
      <name val="Calibri"/>
      <family val="2"/>
      <scheme val="minor"/>
    </font>
    <font>
      <sz val="15"/>
      <color theme="1"/>
      <name val="Calibri"/>
      <family val="2"/>
      <scheme val="minor"/>
    </font>
    <font>
      <sz val="10"/>
      <color theme="0"/>
      <name val="Times New Roman"/>
      <family val="1"/>
    </font>
    <font>
      <sz val="19"/>
      <color theme="0"/>
      <name val="Times New Roman"/>
      <family val="1"/>
    </font>
    <font>
      <b/>
      <sz val="11"/>
      <color theme="0"/>
      <name val="Times New Roman"/>
      <family val="1"/>
    </font>
    <font>
      <sz val="18"/>
      <color theme="0"/>
      <name val="Times New Roman"/>
      <family val="1"/>
    </font>
    <font>
      <sz val="14"/>
      <color theme="0"/>
      <name val="Times New Roman"/>
      <family val="1"/>
    </font>
    <font>
      <i/>
      <sz val="12"/>
      <color theme="0"/>
      <name val="Times New Roman"/>
      <family val="1"/>
    </font>
    <font>
      <sz val="11"/>
      <color theme="0"/>
      <name val="Times New Roman"/>
      <family val="1"/>
    </font>
    <font>
      <u/>
      <sz val="15"/>
      <color theme="10"/>
      <name val="Calibri"/>
      <family val="2"/>
      <scheme val="minor"/>
    </font>
    <font>
      <sz val="16"/>
      <color theme="0"/>
      <name val="Times New Roman"/>
      <family val="1"/>
    </font>
    <font>
      <sz val="12"/>
      <color theme="0"/>
      <name val="Times New Roman"/>
      <family val="1"/>
    </font>
    <font>
      <b/>
      <sz val="20"/>
      <color theme="1"/>
      <name val="Wingdings 2"/>
      <family val="1"/>
      <charset val="2"/>
    </font>
    <font>
      <sz val="22"/>
      <color theme="0"/>
      <name val="Times New Roman"/>
      <family val="1"/>
    </font>
    <font>
      <i/>
      <sz val="22"/>
      <color theme="0"/>
      <name val="Times New Roman"/>
      <family val="1"/>
    </font>
    <font>
      <b/>
      <sz val="22"/>
      <color theme="0"/>
      <name val="Times New Roman"/>
      <family val="1"/>
    </font>
    <font>
      <b/>
      <sz val="15"/>
      <color theme="1"/>
      <name val="Wingdings 2"/>
      <family val="1"/>
      <charset val="2"/>
    </font>
    <font>
      <sz val="15.8"/>
      <color theme="1"/>
      <name val="Times New Roman"/>
      <family val="1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5.5"/>
      <color theme="1"/>
      <name val="Times New Roman"/>
      <family val="1"/>
    </font>
    <font>
      <b/>
      <i/>
      <sz val="19.5"/>
      <color rgb="FFFF0000"/>
      <name val="Times New Roman"/>
      <family val="1"/>
    </font>
    <font>
      <i/>
      <sz val="13"/>
      <color theme="1"/>
      <name val="Times New Roman"/>
      <family val="1"/>
    </font>
    <font>
      <sz val="18"/>
      <color rgb="FFFF000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double">
        <color theme="0" tint="-0.24994659260841701"/>
      </left>
      <right style="double">
        <color theme="0" tint="-0.24994659260841701"/>
      </right>
      <top style="double">
        <color theme="0" tint="-0.24994659260841701"/>
      </top>
      <bottom style="double">
        <color theme="0" tint="-0.24994659260841701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 style="double">
        <color theme="0" tint="-0.24994659260841701"/>
      </bottom>
      <diagonal/>
    </border>
    <border>
      <left/>
      <right/>
      <top style="double">
        <color theme="0" tint="-0.24994659260841701"/>
      </top>
      <bottom style="double">
        <color theme="0" tint="-0.24994659260841701"/>
      </bottom>
      <diagonal/>
    </border>
    <border>
      <left/>
      <right style="double">
        <color theme="0" tint="-0.24994659260841701"/>
      </right>
      <top style="double">
        <color theme="0" tint="-0.24994659260841701"/>
      </top>
      <bottom style="double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/>
      <diagonal/>
    </border>
    <border>
      <left/>
      <right/>
      <top style="double">
        <color theme="0" tint="-0.24994659260841701"/>
      </top>
      <bottom/>
      <diagonal/>
    </border>
    <border>
      <left/>
      <right style="double">
        <color theme="0" tint="-0.24994659260841701"/>
      </right>
      <top style="double">
        <color theme="0" tint="-0.24994659260841701"/>
      </top>
      <bottom/>
      <diagonal/>
    </border>
    <border>
      <left style="double">
        <color theme="0" tint="-0.24994659260841701"/>
      </left>
      <right/>
      <top/>
      <bottom style="double">
        <color theme="0" tint="-0.24994659260841701"/>
      </bottom>
      <diagonal/>
    </border>
    <border>
      <left/>
      <right/>
      <top/>
      <bottom style="double">
        <color theme="0" tint="-0.24994659260841701"/>
      </bottom>
      <diagonal/>
    </border>
    <border>
      <left/>
      <right style="double">
        <color theme="0" tint="-0.24994659260841701"/>
      </right>
      <top/>
      <bottom style="double">
        <color theme="0" tint="-0.24994659260841701"/>
      </bottom>
      <diagonal/>
    </border>
  </borders>
  <cellStyleXfs count="3">
    <xf numFmtId="0" fontId="0" fillId="0" borderId="0"/>
    <xf numFmtId="0" fontId="20" fillId="0" borderId="0"/>
    <xf numFmtId="0" fontId="39" fillId="0" borderId="0" applyNumberFormat="0" applyFill="0" applyBorder="0" applyAlignment="0" applyProtection="0"/>
  </cellStyleXfs>
  <cellXfs count="343">
    <xf numFmtId="0" fontId="0" fillId="0" borderId="0" xfId="0"/>
    <xf numFmtId="0" fontId="2" fillId="0" borderId="0" xfId="0" applyFont="1"/>
    <xf numFmtId="0" fontId="4" fillId="0" borderId="0" xfId="0" applyFont="1"/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6" fillId="0" borderId="0" xfId="0" applyFont="1"/>
    <xf numFmtId="0" fontId="5" fillId="0" borderId="2" xfId="0" applyFont="1" applyBorder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4" fillId="0" borderId="0" xfId="0" applyFont="1" applyAlignment="1">
      <alignment vertical="top"/>
    </xf>
    <xf numFmtId="0" fontId="0" fillId="0" borderId="22" xfId="0" applyBorder="1" applyAlignment="1">
      <alignment horizontal="left"/>
    </xf>
    <xf numFmtId="0" fontId="0" fillId="0" borderId="22" xfId="0" applyBorder="1"/>
    <xf numFmtId="0" fontId="0" fillId="0" borderId="22" xfId="0" applyBorder="1" applyAlignment="1">
      <alignment horizontal="center"/>
    </xf>
    <xf numFmtId="0" fontId="0" fillId="0" borderId="0" xfId="0" applyAlignment="1">
      <alignment horizontal="center"/>
    </xf>
    <xf numFmtId="0" fontId="1" fillId="3" borderId="22" xfId="0" applyFont="1" applyFill="1" applyBorder="1" applyAlignment="1">
      <alignment horizontal="left"/>
    </xf>
    <xf numFmtId="0" fontId="0" fillId="4" borderId="22" xfId="0" applyFill="1" applyBorder="1" applyAlignment="1">
      <alignment horizontal="center"/>
    </xf>
    <xf numFmtId="0" fontId="4" fillId="0" borderId="0" xfId="0" applyFont="1" applyProtection="1">
      <protection hidden="1"/>
    </xf>
    <xf numFmtId="0" fontId="10" fillId="0" borderId="0" xfId="0" applyFont="1" applyAlignment="1" applyProtection="1">
      <alignment vertical="center"/>
      <protection hidden="1"/>
    </xf>
    <xf numFmtId="0" fontId="2" fillId="0" borderId="0" xfId="0" applyFont="1" applyProtection="1">
      <protection hidden="1"/>
    </xf>
    <xf numFmtId="0" fontId="3" fillId="0" borderId="0" xfId="0" applyFont="1" applyAlignment="1" applyProtection="1">
      <alignment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8" fillId="0" borderId="0" xfId="0" applyFont="1" applyProtection="1"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4" fillId="0" borderId="0" xfId="0" applyFont="1" applyAlignment="1" applyProtection="1">
      <alignment vertical="center"/>
      <protection hidden="1"/>
    </xf>
    <xf numFmtId="0" fontId="16" fillId="0" borderId="0" xfId="0" applyFont="1" applyProtection="1">
      <protection hidden="1"/>
    </xf>
    <xf numFmtId="0" fontId="6" fillId="0" borderId="0" xfId="0" applyFont="1" applyProtection="1">
      <protection hidden="1"/>
    </xf>
    <xf numFmtId="0" fontId="6" fillId="0" borderId="0" xfId="0" applyFont="1" applyAlignment="1" applyProtection="1">
      <alignment horizontal="right"/>
      <protection hidden="1"/>
    </xf>
    <xf numFmtId="0" fontId="6" fillId="0" borderId="0" xfId="0" applyFont="1" applyAlignment="1" applyProtection="1">
      <alignment horizontal="right" vertical="center"/>
      <protection hidden="1"/>
    </xf>
    <xf numFmtId="0" fontId="8" fillId="0" borderId="0" xfId="0" applyFont="1" applyAlignment="1" applyProtection="1">
      <alignment horizontal="center"/>
      <protection hidden="1"/>
    </xf>
    <xf numFmtId="0" fontId="8" fillId="0" borderId="0" xfId="0" applyFont="1" applyAlignment="1" applyProtection="1">
      <alignment vertical="center"/>
      <protection hidden="1"/>
    </xf>
    <xf numFmtId="0" fontId="14" fillId="0" borderId="0" xfId="0" applyFont="1" applyAlignment="1" applyProtection="1">
      <alignment vertical="center"/>
      <protection hidden="1"/>
    </xf>
    <xf numFmtId="0" fontId="15" fillId="0" borderId="0" xfId="0" applyFont="1" applyProtection="1">
      <protection hidden="1"/>
    </xf>
    <xf numFmtId="0" fontId="7" fillId="0" borderId="0" xfId="0" applyFont="1" applyAlignment="1" applyProtection="1">
      <alignment vertical="center"/>
      <protection hidden="1"/>
    </xf>
    <xf numFmtId="0" fontId="3" fillId="0" borderId="0" xfId="0" applyFont="1" applyAlignment="1" applyProtection="1">
      <alignment vertical="top"/>
      <protection hidden="1"/>
    </xf>
    <xf numFmtId="0" fontId="18" fillId="0" borderId="0" xfId="0" applyFont="1" applyAlignment="1" applyProtection="1">
      <alignment vertical="top"/>
      <protection hidden="1"/>
    </xf>
    <xf numFmtId="0" fontId="19" fillId="0" borderId="0" xfId="0" applyFont="1" applyAlignment="1" applyProtection="1">
      <alignment vertical="center"/>
      <protection hidden="1"/>
    </xf>
    <xf numFmtId="0" fontId="17" fillId="0" borderId="0" xfId="1" applyFont="1" applyProtection="1">
      <protection hidden="1"/>
    </xf>
    <xf numFmtId="0" fontId="24" fillId="0" borderId="0" xfId="1" applyFont="1" applyProtection="1">
      <protection hidden="1"/>
    </xf>
    <xf numFmtId="0" fontId="3" fillId="0" borderId="0" xfId="1" applyFont="1" applyProtection="1">
      <protection hidden="1"/>
    </xf>
    <xf numFmtId="0" fontId="3" fillId="0" borderId="1" xfId="1" applyFont="1" applyBorder="1" applyProtection="1">
      <protection hidden="1"/>
    </xf>
    <xf numFmtId="0" fontId="19" fillId="0" borderId="2" xfId="1" applyFont="1" applyBorder="1" applyProtection="1">
      <protection hidden="1"/>
    </xf>
    <xf numFmtId="0" fontId="23" fillId="0" borderId="0" xfId="1" applyFont="1" applyProtection="1">
      <protection hidden="1"/>
    </xf>
    <xf numFmtId="0" fontId="25" fillId="0" borderId="0" xfId="1" applyFont="1" applyProtection="1">
      <protection hidden="1"/>
    </xf>
    <xf numFmtId="0" fontId="7" fillId="0" borderId="0" xfId="1" applyFont="1" applyAlignment="1" applyProtection="1">
      <alignment horizontal="left" vertical="center"/>
      <protection hidden="1"/>
    </xf>
    <xf numFmtId="0" fontId="3" fillId="0" borderId="0" xfId="1" applyFont="1" applyAlignment="1" applyProtection="1">
      <alignment horizontal="left" vertical="center"/>
      <protection hidden="1"/>
    </xf>
    <xf numFmtId="0" fontId="7" fillId="0" borderId="0" xfId="1" applyFont="1" applyAlignment="1" applyProtection="1">
      <alignment vertical="center"/>
      <protection hidden="1"/>
    </xf>
    <xf numFmtId="0" fontId="3" fillId="0" borderId="0" xfId="1" applyFont="1" applyAlignment="1" applyProtection="1">
      <alignment vertical="center"/>
      <protection hidden="1"/>
    </xf>
    <xf numFmtId="0" fontId="32" fillId="0" borderId="0" xfId="1" applyFont="1" applyProtection="1">
      <protection hidden="1"/>
    </xf>
    <xf numFmtId="0" fontId="29" fillId="0" borderId="0" xfId="1" applyFont="1" applyProtection="1">
      <protection hidden="1"/>
    </xf>
    <xf numFmtId="0" fontId="24" fillId="0" borderId="0" xfId="1" applyFont="1" applyAlignment="1" applyProtection="1">
      <alignment vertical="center"/>
      <protection hidden="1"/>
    </xf>
    <xf numFmtId="0" fontId="30" fillId="0" borderId="0" xfId="1" applyFont="1" applyAlignment="1" applyProtection="1">
      <alignment vertical="center"/>
      <protection hidden="1"/>
    </xf>
    <xf numFmtId="0" fontId="27" fillId="0" borderId="0" xfId="1" applyFont="1" applyAlignment="1" applyProtection="1">
      <alignment vertical="center"/>
      <protection hidden="1"/>
    </xf>
    <xf numFmtId="0" fontId="12" fillId="0" borderId="0" xfId="1" applyFont="1" applyAlignment="1" applyProtection="1">
      <alignment vertical="center"/>
      <protection hidden="1"/>
    </xf>
    <xf numFmtId="0" fontId="21" fillId="0" borderId="0" xfId="1" applyFont="1" applyAlignment="1" applyProtection="1">
      <alignment vertical="center"/>
      <protection hidden="1"/>
    </xf>
    <xf numFmtId="0" fontId="28" fillId="0" borderId="0" xfId="1" applyFont="1" applyAlignment="1" applyProtection="1">
      <alignment vertical="center"/>
      <protection hidden="1"/>
    </xf>
    <xf numFmtId="0" fontId="17" fillId="0" borderId="0" xfId="1" applyFont="1" applyAlignment="1" applyProtection="1">
      <alignment vertical="center"/>
      <protection hidden="1"/>
    </xf>
    <xf numFmtId="0" fontId="31" fillId="0" borderId="0" xfId="1" applyFont="1" applyProtection="1">
      <protection hidden="1"/>
    </xf>
    <xf numFmtId="0" fontId="22" fillId="0" borderId="0" xfId="1" applyFont="1" applyProtection="1">
      <protection hidden="1"/>
    </xf>
    <xf numFmtId="0" fontId="36" fillId="0" borderId="0" xfId="1" applyFont="1" applyProtection="1">
      <protection hidden="1"/>
    </xf>
    <xf numFmtId="0" fontId="21" fillId="0" borderId="0" xfId="1" applyFont="1" applyAlignment="1" applyProtection="1">
      <alignment horizontal="left" vertical="center"/>
      <protection hidden="1"/>
    </xf>
    <xf numFmtId="0" fontId="17" fillId="0" borderId="0" xfId="1" applyFont="1" applyAlignment="1" applyProtection="1">
      <alignment horizontal="left" vertical="center"/>
      <protection hidden="1"/>
    </xf>
    <xf numFmtId="0" fontId="21" fillId="0" borderId="0" xfId="1" applyFont="1" applyProtection="1">
      <protection hidden="1"/>
    </xf>
    <xf numFmtId="0" fontId="19" fillId="0" borderId="0" xfId="1" applyFont="1" applyProtection="1">
      <protection hidden="1"/>
    </xf>
    <xf numFmtId="0" fontId="24" fillId="0" borderId="0" xfId="1" applyFont="1" applyAlignment="1" applyProtection="1">
      <alignment horizontal="left" vertical="center"/>
      <protection hidden="1"/>
    </xf>
    <xf numFmtId="0" fontId="23" fillId="0" borderId="0" xfId="1" applyFont="1" applyAlignment="1" applyProtection="1">
      <alignment vertical="center"/>
      <protection hidden="1"/>
    </xf>
    <xf numFmtId="0" fontId="33" fillId="0" borderId="0" xfId="0" applyFont="1" applyAlignment="1" applyProtection="1">
      <alignment vertical="center"/>
      <protection hidden="1"/>
    </xf>
    <xf numFmtId="0" fontId="37" fillId="0" borderId="0" xfId="1" applyFont="1" applyProtection="1">
      <protection hidden="1"/>
    </xf>
    <xf numFmtId="0" fontId="35" fillId="0" borderId="0" xfId="0" applyFont="1" applyAlignment="1" applyProtection="1">
      <alignment horizontal="left" vertical="center" indent="5"/>
      <protection hidden="1"/>
    </xf>
    <xf numFmtId="0" fontId="19" fillId="0" borderId="0" xfId="1" applyFont="1" applyAlignment="1" applyProtection="1">
      <alignment horizontal="left" vertical="center"/>
      <protection hidden="1"/>
    </xf>
    <xf numFmtId="0" fontId="34" fillId="0" borderId="0" xfId="0" applyFont="1" applyAlignment="1" applyProtection="1">
      <alignment vertical="center"/>
      <protection hidden="1"/>
    </xf>
    <xf numFmtId="0" fontId="35" fillId="0" borderId="0" xfId="0" applyFont="1" applyAlignment="1" applyProtection="1">
      <alignment horizontal="left" vertical="center" indent="4"/>
      <protection hidden="1"/>
    </xf>
    <xf numFmtId="0" fontId="34" fillId="0" borderId="0" xfId="0" applyFont="1" applyProtection="1">
      <protection hidden="1"/>
    </xf>
    <xf numFmtId="0" fontId="17" fillId="0" borderId="0" xfId="1" applyFont="1" applyAlignment="1" applyProtection="1">
      <alignment vertical="top"/>
      <protection hidden="1"/>
    </xf>
    <xf numFmtId="0" fontId="0" fillId="0" borderId="0" xfId="0" applyProtection="1">
      <protection hidden="1"/>
    </xf>
    <xf numFmtId="0" fontId="17" fillId="0" borderId="8" xfId="1" applyFont="1" applyBorder="1" applyProtection="1">
      <protection hidden="1"/>
    </xf>
    <xf numFmtId="0" fontId="17" fillId="0" borderId="4" xfId="1" applyFont="1" applyBorder="1" applyAlignment="1" applyProtection="1">
      <alignment vertical="center"/>
      <protection hidden="1"/>
    </xf>
    <xf numFmtId="0" fontId="17" fillId="0" borderId="6" xfId="1" applyFont="1" applyBorder="1" applyProtection="1">
      <protection hidden="1"/>
    </xf>
    <xf numFmtId="0" fontId="17" fillId="0" borderId="4" xfId="1" applyFont="1" applyBorder="1" applyProtection="1">
      <protection hidden="1"/>
    </xf>
    <xf numFmtId="0" fontId="3" fillId="0" borderId="7" xfId="1" applyFont="1" applyBorder="1" applyProtection="1">
      <protection hidden="1"/>
    </xf>
    <xf numFmtId="0" fontId="3" fillId="0" borderId="8" xfId="1" applyFont="1" applyBorder="1" applyProtection="1">
      <protection hidden="1"/>
    </xf>
    <xf numFmtId="0" fontId="11" fillId="0" borderId="7" xfId="0" applyFont="1" applyBorder="1" applyAlignment="1" applyProtection="1">
      <alignment horizontal="center" vertical="center"/>
      <protection hidden="1"/>
    </xf>
    <xf numFmtId="0" fontId="17" fillId="0" borderId="8" xfId="1" applyFont="1" applyBorder="1" applyAlignment="1" applyProtection="1">
      <alignment vertical="center"/>
      <protection hidden="1"/>
    </xf>
    <xf numFmtId="0" fontId="23" fillId="0" borderId="8" xfId="1" applyFont="1" applyBorder="1" applyAlignment="1" applyProtection="1">
      <alignment vertical="center"/>
      <protection hidden="1"/>
    </xf>
    <xf numFmtId="0" fontId="17" fillId="0" borderId="9" xfId="1" applyFont="1" applyBorder="1" applyProtection="1">
      <protection hidden="1"/>
    </xf>
    <xf numFmtId="0" fontId="17" fillId="0" borderId="7" xfId="1" applyFont="1" applyBorder="1" applyProtection="1">
      <protection hidden="1"/>
    </xf>
    <xf numFmtId="0" fontId="23" fillId="0" borderId="8" xfId="1" applyFont="1" applyBorder="1" applyProtection="1">
      <protection hidden="1"/>
    </xf>
    <xf numFmtId="0" fontId="11" fillId="0" borderId="8" xfId="0" applyFont="1" applyBorder="1" applyAlignment="1" applyProtection="1">
      <alignment horizontal="center" vertical="center"/>
      <protection hidden="1"/>
    </xf>
    <xf numFmtId="0" fontId="23" fillId="0" borderId="9" xfId="1" applyFont="1" applyBorder="1" applyProtection="1">
      <protection hidden="1"/>
    </xf>
    <xf numFmtId="0" fontId="7" fillId="0" borderId="1" xfId="1" applyFont="1" applyBorder="1" applyAlignment="1" applyProtection="1">
      <alignment horizontal="center" vertical="center"/>
      <protection hidden="1"/>
    </xf>
    <xf numFmtId="0" fontId="38" fillId="0" borderId="0" xfId="1" applyFont="1" applyAlignment="1" applyProtection="1">
      <alignment vertical="center"/>
      <protection hidden="1"/>
    </xf>
    <xf numFmtId="0" fontId="19" fillId="0" borderId="0" xfId="1" applyFont="1" applyAlignment="1" applyProtection="1">
      <alignment horizontal="left" vertical="top"/>
      <protection hidden="1"/>
    </xf>
    <xf numFmtId="0" fontId="8" fillId="0" borderId="0" xfId="1" applyFont="1" applyAlignment="1" applyProtection="1">
      <alignment horizontal="left" vertical="center"/>
      <protection hidden="1"/>
    </xf>
    <xf numFmtId="0" fontId="8" fillId="0" borderId="0" xfId="1" applyFont="1" applyAlignment="1" applyProtection="1">
      <alignment horizontal="left"/>
      <protection hidden="1"/>
    </xf>
    <xf numFmtId="0" fontId="8" fillId="0" borderId="0" xfId="0" applyFont="1" applyAlignment="1" applyProtection="1">
      <alignment horizontal="left"/>
      <protection hidden="1"/>
    </xf>
    <xf numFmtId="0" fontId="40" fillId="0" borderId="0" xfId="0" applyFont="1" applyAlignment="1" applyProtection="1">
      <alignment horizontal="left" vertical="center"/>
      <protection hidden="1"/>
    </xf>
    <xf numFmtId="0" fontId="0" fillId="6" borderId="22" xfId="0" applyFill="1" applyBorder="1" applyAlignment="1">
      <alignment horizontal="center"/>
    </xf>
    <xf numFmtId="0" fontId="4" fillId="0" borderId="0" xfId="0" applyFont="1" applyAlignment="1">
      <alignment vertical="center" wrapText="1"/>
    </xf>
    <xf numFmtId="0" fontId="41" fillId="0" borderId="0" xfId="0" applyFont="1" applyAlignment="1">
      <alignment horizontal="center" vertical="center"/>
    </xf>
    <xf numFmtId="0" fontId="41" fillId="0" borderId="0" xfId="0" applyFont="1" applyProtection="1">
      <protection hidden="1"/>
    </xf>
    <xf numFmtId="0" fontId="41" fillId="0" borderId="0" xfId="0" applyFont="1" applyAlignment="1" applyProtection="1">
      <alignment vertical="center"/>
      <protection hidden="1"/>
    </xf>
    <xf numFmtId="0" fontId="42" fillId="0" borderId="0" xfId="1" applyFont="1" applyProtection="1">
      <protection hidden="1"/>
    </xf>
    <xf numFmtId="0" fontId="43" fillId="0" borderId="0" xfId="1" applyFont="1" applyAlignment="1" applyProtection="1">
      <alignment horizontal="left" vertical="center"/>
      <protection hidden="1"/>
    </xf>
    <xf numFmtId="0" fontId="44" fillId="0" borderId="0" xfId="1" applyFont="1" applyProtection="1">
      <protection hidden="1"/>
    </xf>
    <xf numFmtId="0" fontId="45" fillId="0" borderId="0" xfId="1" applyFont="1" applyProtection="1">
      <protection hidden="1"/>
    </xf>
    <xf numFmtId="0" fontId="46" fillId="0" borderId="0" xfId="1" applyFont="1" applyProtection="1">
      <protection hidden="1"/>
    </xf>
    <xf numFmtId="0" fontId="47" fillId="0" borderId="0" xfId="1" applyFont="1" applyAlignment="1" applyProtection="1">
      <alignment horizontal="center" vertical="center"/>
      <protection hidden="1"/>
    </xf>
    <xf numFmtId="0" fontId="41" fillId="0" borderId="0" xfId="0" applyFont="1" applyAlignment="1">
      <alignment vertical="center"/>
    </xf>
    <xf numFmtId="0" fontId="49" fillId="0" borderId="0" xfId="1" applyFont="1" applyAlignment="1" applyProtection="1">
      <alignment horizontal="left"/>
      <protection hidden="1"/>
    </xf>
    <xf numFmtId="0" fontId="50" fillId="0" borderId="0" xfId="1" applyFont="1" applyProtection="1">
      <protection hidden="1"/>
    </xf>
    <xf numFmtId="0" fontId="17" fillId="0" borderId="2" xfId="1" applyFont="1" applyBorder="1" applyProtection="1">
      <protection hidden="1"/>
    </xf>
    <xf numFmtId="0" fontId="41" fillId="0" borderId="0" xfId="0" applyFont="1"/>
    <xf numFmtId="0" fontId="51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0" borderId="0" xfId="0" applyFont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4" fillId="0" borderId="0" xfId="0" applyFont="1" applyAlignment="1">
      <alignment horizontal="center" vertical="center"/>
    </xf>
    <xf numFmtId="0" fontId="52" fillId="0" borderId="0" xfId="1" applyFont="1" applyProtection="1">
      <protection hidden="1"/>
    </xf>
    <xf numFmtId="0" fontId="47" fillId="0" borderId="0" xfId="1" applyFont="1" applyProtection="1">
      <protection hidden="1"/>
    </xf>
    <xf numFmtId="0" fontId="53" fillId="0" borderId="0" xfId="1" applyFont="1" applyProtection="1">
      <protection hidden="1"/>
    </xf>
    <xf numFmtId="0" fontId="44" fillId="0" borderId="0" xfId="1" applyFont="1" applyAlignment="1" applyProtection="1">
      <alignment vertical="center"/>
      <protection hidden="1"/>
    </xf>
    <xf numFmtId="0" fontId="54" fillId="0" borderId="0" xfId="1" applyFont="1" applyAlignment="1" applyProtection="1">
      <alignment vertical="center"/>
      <protection hidden="1"/>
    </xf>
    <xf numFmtId="0" fontId="51" fillId="0" borderId="1" xfId="0" applyFont="1" applyBorder="1" applyAlignment="1" applyProtection="1">
      <alignment horizontal="center" vertical="center"/>
      <protection hidden="1"/>
    </xf>
    <xf numFmtId="0" fontId="55" fillId="0" borderId="1" xfId="0" applyFont="1" applyBorder="1" applyAlignment="1" applyProtection="1">
      <alignment horizontal="left" vertical="center"/>
      <protection hidden="1"/>
    </xf>
    <xf numFmtId="0" fontId="3" fillId="0" borderId="0" xfId="1" applyFont="1" applyAlignment="1" applyProtection="1">
      <alignment horizontal="left"/>
      <protection hidden="1"/>
    </xf>
    <xf numFmtId="0" fontId="51" fillId="0" borderId="4" xfId="0" applyFont="1" applyBorder="1" applyAlignment="1" applyProtection="1">
      <alignment horizontal="center" vertical="center"/>
      <protection hidden="1"/>
    </xf>
    <xf numFmtId="0" fontId="23" fillId="0" borderId="4" xfId="1" applyFont="1" applyBorder="1" applyProtection="1">
      <protection hidden="1"/>
    </xf>
    <xf numFmtId="0" fontId="11" fillId="0" borderId="4" xfId="0" applyFont="1" applyBorder="1" applyAlignment="1" applyProtection="1">
      <alignment horizontal="center" vertical="center"/>
      <protection hidden="1"/>
    </xf>
    <xf numFmtId="0" fontId="23" fillId="0" borderId="6" xfId="1" applyFont="1" applyBorder="1" applyProtection="1">
      <protection hidden="1"/>
    </xf>
    <xf numFmtId="0" fontId="4" fillId="0" borderId="0" xfId="0" applyFont="1" applyAlignment="1">
      <alignment horizontal="left"/>
    </xf>
    <xf numFmtId="0" fontId="44" fillId="0" borderId="0" xfId="1" applyFont="1" applyAlignment="1" applyProtection="1">
      <alignment horizontal="left"/>
      <protection hidden="1"/>
    </xf>
    <xf numFmtId="14" fontId="4" fillId="0" borderId="0" xfId="0" applyNumberFormat="1" applyFont="1"/>
    <xf numFmtId="0" fontId="8" fillId="0" borderId="0" xfId="0" applyFont="1" applyAlignment="1" applyProtection="1">
      <alignment horizontal="left" vertical="center"/>
      <protection hidden="1"/>
    </xf>
    <xf numFmtId="0" fontId="8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horizontal="left" vertical="center"/>
      <protection hidden="1"/>
    </xf>
    <xf numFmtId="0" fontId="4" fillId="0" borderId="0" xfId="0" applyFont="1" applyAlignment="1" applyProtection="1">
      <alignment horizontal="left" vertical="center"/>
      <protection hidden="1"/>
    </xf>
    <xf numFmtId="0" fontId="5" fillId="0" borderId="0" xfId="0" applyFont="1" applyAlignment="1" applyProtection="1">
      <alignment vertical="center"/>
      <protection hidden="1"/>
    </xf>
    <xf numFmtId="0" fontId="56" fillId="0" borderId="0" xfId="0" applyFont="1" applyAlignment="1" applyProtection="1">
      <alignment vertical="center"/>
      <protection hidden="1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0" borderId="0" xfId="0" applyFont="1" applyAlignment="1">
      <alignment horizontal="left" vertical="top"/>
    </xf>
    <xf numFmtId="0" fontId="60" fillId="0" borderId="0" xfId="0" applyFont="1" applyProtection="1">
      <protection hidden="1"/>
    </xf>
    <xf numFmtId="0" fontId="61" fillId="0" borderId="0" xfId="0" applyFont="1" applyProtection="1">
      <protection hidden="1"/>
    </xf>
    <xf numFmtId="0" fontId="0" fillId="4" borderId="22" xfId="0" applyFill="1" applyBorder="1" applyAlignment="1">
      <alignment horizontal="left"/>
    </xf>
    <xf numFmtId="0" fontId="23" fillId="0" borderId="2" xfId="1" applyFont="1" applyBorder="1" applyAlignment="1" applyProtection="1">
      <alignment horizontal="left" vertical="center"/>
      <protection hidden="1"/>
    </xf>
    <xf numFmtId="0" fontId="23" fillId="0" borderId="3" xfId="1" applyFont="1" applyBorder="1" applyAlignment="1" applyProtection="1">
      <alignment horizontal="left" vertical="center"/>
      <protection hidden="1"/>
    </xf>
    <xf numFmtId="0" fontId="8" fillId="0" borderId="2" xfId="1" applyFont="1" applyBorder="1" applyAlignment="1" applyProtection="1">
      <alignment horizontal="left" vertical="center"/>
      <protection hidden="1"/>
    </xf>
    <xf numFmtId="0" fontId="23" fillId="0" borderId="0" xfId="1" applyFont="1" applyAlignment="1" applyProtection="1">
      <alignment horizontal="left" vertical="center"/>
      <protection hidden="1"/>
    </xf>
    <xf numFmtId="0" fontId="51" fillId="0" borderId="22" xfId="0" applyFont="1" applyBorder="1" applyAlignment="1" applyProtection="1">
      <alignment horizontal="center" vertical="center"/>
      <protection hidden="1"/>
    </xf>
    <xf numFmtId="0" fontId="23" fillId="0" borderId="0" xfId="1" applyFont="1" applyProtection="1">
      <protection locked="0"/>
    </xf>
    <xf numFmtId="0" fontId="8" fillId="0" borderId="0" xfId="0" applyFont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5" fillId="0" borderId="2" xfId="0" applyFont="1" applyBorder="1" applyAlignment="1" applyProtection="1">
      <alignment horizontal="left" vertical="center"/>
      <protection locked="0"/>
    </xf>
    <xf numFmtId="0" fontId="5" fillId="0" borderId="3" xfId="0" applyFont="1" applyBorder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15" xfId="0" applyFont="1" applyBorder="1" applyAlignment="1" applyProtection="1">
      <alignment horizontal="left" vertical="top"/>
      <protection locked="0"/>
    </xf>
    <xf numFmtId="0" fontId="8" fillId="0" borderId="16" xfId="0" applyFont="1" applyBorder="1" applyAlignment="1" applyProtection="1">
      <alignment horizontal="left" vertical="top"/>
      <protection locked="0"/>
    </xf>
    <xf numFmtId="0" fontId="8" fillId="0" borderId="17" xfId="0" applyFont="1" applyBorder="1" applyAlignment="1" applyProtection="1">
      <alignment horizontal="left" vertical="top"/>
      <protection locked="0"/>
    </xf>
    <xf numFmtId="0" fontId="8" fillId="0" borderId="10" xfId="0" applyFont="1" applyBorder="1" applyAlignment="1" applyProtection="1">
      <alignment horizontal="left" vertical="top"/>
      <protection locked="0"/>
    </xf>
    <xf numFmtId="0" fontId="8" fillId="0" borderId="0" xfId="0" applyFont="1" applyAlignment="1" applyProtection="1">
      <alignment horizontal="left" vertical="top"/>
      <protection locked="0"/>
    </xf>
    <xf numFmtId="0" fontId="8" fillId="0" borderId="18" xfId="0" applyFont="1" applyBorder="1" applyAlignment="1" applyProtection="1">
      <alignment horizontal="left" vertical="top"/>
      <protection locked="0"/>
    </xf>
    <xf numFmtId="0" fontId="8" fillId="0" borderId="19" xfId="0" applyFont="1" applyBorder="1" applyAlignment="1" applyProtection="1">
      <alignment horizontal="left" vertical="top"/>
      <protection locked="0"/>
    </xf>
    <xf numFmtId="0" fontId="8" fillId="0" borderId="20" xfId="0" applyFont="1" applyBorder="1" applyAlignment="1" applyProtection="1">
      <alignment horizontal="left" vertical="top"/>
      <protection locked="0"/>
    </xf>
    <xf numFmtId="0" fontId="8" fillId="0" borderId="21" xfId="0" applyFont="1" applyBorder="1" applyAlignment="1" applyProtection="1">
      <alignment horizontal="left" vertical="top"/>
      <protection locked="0"/>
    </xf>
    <xf numFmtId="0" fontId="8" fillId="0" borderId="15" xfId="0" applyFont="1" applyBorder="1" applyAlignment="1" applyProtection="1">
      <alignment horizontal="left" vertical="top" wrapText="1"/>
      <protection locked="0"/>
    </xf>
    <xf numFmtId="0" fontId="9" fillId="0" borderId="5" xfId="0" applyFont="1" applyBorder="1" applyAlignment="1">
      <alignment horizontal="left" vertical="top" wrapText="1"/>
    </xf>
    <xf numFmtId="0" fontId="9" fillId="0" borderId="4" xfId="0" applyFont="1" applyBorder="1" applyAlignment="1">
      <alignment horizontal="left" vertical="top" wrapText="1"/>
    </xf>
    <xf numFmtId="0" fontId="9" fillId="0" borderId="6" xfId="0" applyFont="1" applyBorder="1" applyAlignment="1">
      <alignment horizontal="left" vertical="top" wrapText="1"/>
    </xf>
    <xf numFmtId="0" fontId="9" fillId="0" borderId="7" xfId="0" applyFont="1" applyBorder="1" applyAlignment="1">
      <alignment horizontal="left" vertical="top" wrapText="1"/>
    </xf>
    <xf numFmtId="0" fontId="9" fillId="0" borderId="8" xfId="0" applyFont="1" applyBorder="1" applyAlignment="1">
      <alignment horizontal="left" vertical="top" wrapText="1"/>
    </xf>
    <xf numFmtId="0" fontId="9" fillId="0" borderId="9" xfId="0" applyFont="1" applyBorder="1" applyAlignment="1">
      <alignment horizontal="left" vertical="top" wrapText="1"/>
    </xf>
    <xf numFmtId="0" fontId="8" fillId="0" borderId="11" xfId="0" applyFont="1" applyBorder="1" applyAlignment="1" applyProtection="1">
      <alignment horizontal="left" vertical="center" wrapText="1"/>
      <protection locked="0"/>
    </xf>
    <xf numFmtId="0" fontId="8" fillId="0" borderId="11" xfId="0" applyFont="1" applyBorder="1" applyAlignment="1" applyProtection="1">
      <alignment horizontal="left" vertical="center"/>
      <protection locked="0"/>
    </xf>
    <xf numFmtId="0" fontId="8" fillId="0" borderId="11" xfId="0" applyFont="1" applyBorder="1" applyAlignment="1">
      <alignment horizontal="left" vertical="center"/>
    </xf>
    <xf numFmtId="0" fontId="48" fillId="0" borderId="11" xfId="2" applyFont="1" applyFill="1" applyBorder="1" applyAlignment="1" applyProtection="1">
      <alignment horizontal="left" vertical="center" wrapText="1"/>
      <protection locked="0"/>
    </xf>
    <xf numFmtId="0" fontId="8" fillId="0" borderId="12" xfId="0" applyFont="1" applyBorder="1" applyAlignment="1" applyProtection="1">
      <alignment horizontal="left" vertical="center"/>
      <protection locked="0"/>
    </xf>
    <xf numFmtId="0" fontId="8" fillId="0" borderId="13" xfId="0" applyFont="1" applyBorder="1" applyAlignment="1" applyProtection="1">
      <alignment horizontal="left" vertical="center"/>
      <protection locked="0"/>
    </xf>
    <xf numFmtId="0" fontId="8" fillId="0" borderId="14" xfId="0" applyFont="1" applyBorder="1" applyAlignment="1" applyProtection="1">
      <alignment horizontal="left" vertical="center"/>
      <protection locked="0"/>
    </xf>
    <xf numFmtId="11" fontId="8" fillId="0" borderId="11" xfId="0" applyNumberFormat="1" applyFont="1" applyBorder="1" applyAlignment="1" applyProtection="1">
      <alignment horizontal="left" vertical="center" wrapText="1"/>
      <protection locked="0"/>
    </xf>
    <xf numFmtId="0" fontId="5" fillId="0" borderId="12" xfId="0" applyFont="1" applyBorder="1" applyAlignment="1">
      <alignment horizontal="left"/>
    </xf>
    <xf numFmtId="0" fontId="5" fillId="0" borderId="13" xfId="0" applyFont="1" applyBorder="1" applyAlignment="1">
      <alignment horizontal="left"/>
    </xf>
    <xf numFmtId="0" fontId="8" fillId="0" borderId="13" xfId="0" applyFont="1" applyBorder="1" applyAlignment="1" applyProtection="1">
      <alignment horizontal="left"/>
      <protection locked="0"/>
    </xf>
    <xf numFmtId="0" fontId="8" fillId="0" borderId="14" xfId="0" applyFont="1" applyBorder="1" applyAlignment="1" applyProtection="1">
      <alignment horizontal="left"/>
      <protection locked="0"/>
    </xf>
    <xf numFmtId="0" fontId="56" fillId="0" borderId="26" xfId="0" applyFont="1" applyBorder="1" applyAlignment="1">
      <alignment horizontal="left" vertical="center"/>
    </xf>
    <xf numFmtId="0" fontId="56" fillId="0" borderId="27" xfId="0" applyFont="1" applyBorder="1" applyAlignment="1">
      <alignment horizontal="left" vertical="center"/>
    </xf>
    <xf numFmtId="0" fontId="56" fillId="0" borderId="28" xfId="0" applyFont="1" applyBorder="1" applyAlignment="1">
      <alignment horizontal="left" vertical="center"/>
    </xf>
    <xf numFmtId="0" fontId="5" fillId="0" borderId="29" xfId="0" applyFont="1" applyBorder="1" applyAlignment="1">
      <alignment horizontal="left" vertical="top"/>
    </xf>
    <xf numFmtId="0" fontId="5" fillId="0" borderId="30" xfId="0" applyFont="1" applyBorder="1" applyAlignment="1">
      <alignment horizontal="left" vertical="top"/>
    </xf>
    <xf numFmtId="0" fontId="5" fillId="0" borderId="30" xfId="0" applyFont="1" applyBorder="1" applyAlignment="1" applyProtection="1">
      <alignment horizontal="left" vertical="top"/>
      <protection locked="0"/>
    </xf>
    <xf numFmtId="0" fontId="5" fillId="0" borderId="31" xfId="0" applyFont="1" applyBorder="1" applyAlignment="1" applyProtection="1">
      <alignment horizontal="left" vertical="top"/>
      <protection locked="0"/>
    </xf>
    <xf numFmtId="0" fontId="8" fillId="0" borderId="12" xfId="0" applyFont="1" applyBorder="1" applyAlignment="1" applyProtection="1">
      <alignment horizontal="left" vertical="center" wrapText="1"/>
      <protection locked="0"/>
    </xf>
    <xf numFmtId="0" fontId="8" fillId="0" borderId="13" xfId="0" applyFont="1" applyBorder="1" applyAlignment="1" applyProtection="1">
      <alignment horizontal="left" vertical="center" wrapText="1"/>
      <protection locked="0"/>
    </xf>
    <xf numFmtId="0" fontId="8" fillId="0" borderId="14" xfId="0" applyFont="1" applyBorder="1" applyAlignment="1" applyProtection="1">
      <alignment horizontal="left" vertical="center" wrapText="1"/>
      <protection locked="0"/>
    </xf>
    <xf numFmtId="164" fontId="8" fillId="0" borderId="11" xfId="0" applyNumberFormat="1" applyFont="1" applyBorder="1" applyAlignment="1" applyProtection="1">
      <alignment horizontal="left" vertical="center"/>
      <protection locked="0"/>
    </xf>
    <xf numFmtId="0" fontId="8" fillId="0" borderId="5" xfId="0" applyFont="1" applyBorder="1" applyAlignment="1" applyProtection="1">
      <alignment horizontal="center" vertical="center"/>
      <protection hidden="1"/>
    </xf>
    <xf numFmtId="0" fontId="8" fillId="0" borderId="4" xfId="0" applyFont="1" applyBorder="1" applyAlignment="1" applyProtection="1">
      <alignment horizontal="center" vertical="center"/>
      <protection hidden="1"/>
    </xf>
    <xf numFmtId="0" fontId="8" fillId="0" borderId="4" xfId="0" applyFont="1" applyBorder="1" applyAlignment="1" applyProtection="1">
      <alignment horizontal="left" vertical="center"/>
      <protection locked="0"/>
    </xf>
    <xf numFmtId="0" fontId="8" fillId="0" borderId="6" xfId="0" applyFont="1" applyBorder="1" applyAlignment="1" applyProtection="1">
      <alignment horizontal="left" vertical="center"/>
      <protection locked="0"/>
    </xf>
    <xf numFmtId="1" fontId="8" fillId="0" borderId="22" xfId="0" applyNumberFormat="1" applyFont="1" applyBorder="1" applyAlignment="1" applyProtection="1">
      <alignment horizontal="center"/>
      <protection locked="0"/>
    </xf>
    <xf numFmtId="49" fontId="8" fillId="0" borderId="22" xfId="0" applyNumberFormat="1" applyFont="1" applyBorder="1" applyAlignment="1" applyProtection="1">
      <alignment horizontal="center"/>
      <protection locked="0"/>
    </xf>
    <xf numFmtId="0" fontId="8" fillId="0" borderId="5" xfId="0" applyFont="1" applyBorder="1" applyAlignment="1" applyProtection="1">
      <alignment horizontal="center"/>
      <protection hidden="1"/>
    </xf>
    <xf numFmtId="0" fontId="8" fillId="0" borderId="6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8" fillId="0" borderId="9" xfId="0" applyFont="1" applyBorder="1" applyAlignment="1" applyProtection="1">
      <alignment horizontal="center"/>
      <protection hidden="1"/>
    </xf>
    <xf numFmtId="0" fontId="8" fillId="0" borderId="0" xfId="0" applyFont="1" applyAlignment="1" applyProtection="1">
      <alignment horizontal="left"/>
      <protection locked="0"/>
    </xf>
    <xf numFmtId="0" fontId="8" fillId="0" borderId="16" xfId="0" applyFont="1" applyBorder="1" applyAlignment="1" applyProtection="1">
      <alignment horizontal="left"/>
      <protection hidden="1"/>
    </xf>
    <xf numFmtId="0" fontId="8" fillId="0" borderId="0" xfId="0" applyFont="1" applyAlignment="1" applyProtection="1">
      <alignment horizontal="left"/>
      <protection hidden="1"/>
    </xf>
    <xf numFmtId="0" fontId="8" fillId="0" borderId="22" xfId="0" applyFont="1" applyBorder="1" applyAlignment="1" applyProtection="1">
      <alignment horizontal="left" vertical="center"/>
      <protection locked="0"/>
    </xf>
    <xf numFmtId="14" fontId="8" fillId="0" borderId="0" xfId="0" applyNumberFormat="1" applyFont="1" applyAlignment="1" applyProtection="1">
      <alignment horizontal="left" vertical="center"/>
      <protection locked="0"/>
    </xf>
    <xf numFmtId="0" fontId="58" fillId="7" borderId="22" xfId="0" applyFont="1" applyFill="1" applyBorder="1" applyAlignment="1" applyProtection="1">
      <alignment horizontal="center" vertical="center"/>
      <protection hidden="1"/>
    </xf>
    <xf numFmtId="0" fontId="57" fillId="8" borderId="22" xfId="0" applyFont="1" applyFill="1" applyBorder="1" applyAlignment="1" applyProtection="1">
      <alignment horizontal="left" vertical="center"/>
      <protection hidden="1"/>
    </xf>
    <xf numFmtId="0" fontId="57" fillId="8" borderId="22" xfId="0" applyFont="1" applyFill="1" applyBorder="1" applyAlignment="1" applyProtection="1">
      <alignment horizontal="center" vertical="center"/>
      <protection hidden="1"/>
    </xf>
    <xf numFmtId="0" fontId="6" fillId="0" borderId="5" xfId="0" applyFont="1" applyBorder="1" applyAlignment="1" applyProtection="1">
      <alignment horizontal="center"/>
      <protection hidden="1"/>
    </xf>
    <xf numFmtId="0" fontId="6" fillId="0" borderId="4" xfId="0" applyFont="1" applyBorder="1" applyAlignment="1" applyProtection="1">
      <alignment horizontal="center"/>
      <protection hidden="1"/>
    </xf>
    <xf numFmtId="0" fontId="6" fillId="0" borderId="6" xfId="0" applyFont="1" applyBorder="1" applyAlignment="1" applyProtection="1">
      <alignment horizontal="center"/>
      <protection hidden="1"/>
    </xf>
    <xf numFmtId="0" fontId="2" fillId="0" borderId="7" xfId="0" applyFont="1" applyBorder="1" applyAlignment="1" applyProtection="1">
      <alignment horizontal="center"/>
      <protection hidden="1"/>
    </xf>
    <xf numFmtId="0" fontId="2" fillId="0" borderId="8" xfId="0" applyFont="1" applyBorder="1" applyAlignment="1" applyProtection="1">
      <alignment horizontal="center"/>
      <protection hidden="1"/>
    </xf>
    <xf numFmtId="0" fontId="2" fillId="0" borderId="9" xfId="0" applyFont="1" applyBorder="1" applyAlignment="1" applyProtection="1">
      <alignment horizontal="center"/>
      <protection hidden="1"/>
    </xf>
    <xf numFmtId="0" fontId="14" fillId="2" borderId="22" xfId="0" applyFont="1" applyFill="1" applyBorder="1" applyAlignment="1" applyProtection="1">
      <alignment horizontal="center"/>
      <protection hidden="1"/>
    </xf>
    <xf numFmtId="0" fontId="8" fillId="0" borderId="22" xfId="0" applyFont="1" applyBorder="1" applyAlignment="1" applyProtection="1">
      <alignment horizontal="left" vertical="center"/>
      <protection hidden="1"/>
    </xf>
    <xf numFmtId="0" fontId="8" fillId="0" borderId="22" xfId="0" applyFont="1" applyBorder="1" applyAlignment="1" applyProtection="1">
      <alignment horizontal="center" vertical="center"/>
      <protection hidden="1"/>
    </xf>
    <xf numFmtId="0" fontId="8" fillId="0" borderId="24" xfId="0" applyFont="1" applyBorder="1" applyAlignment="1" applyProtection="1">
      <alignment horizontal="left" vertical="top"/>
      <protection locked="0"/>
    </xf>
    <xf numFmtId="0" fontId="8" fillId="0" borderId="23" xfId="0" applyFont="1" applyBorder="1" applyAlignment="1" applyProtection="1">
      <alignment horizontal="left" vertical="top"/>
      <protection locked="0"/>
    </xf>
    <xf numFmtId="0" fontId="8" fillId="0" borderId="7" xfId="0" applyFont="1" applyBorder="1" applyAlignment="1" applyProtection="1">
      <alignment horizontal="left" vertical="top"/>
      <protection locked="0"/>
    </xf>
    <xf numFmtId="0" fontId="8" fillId="0" borderId="8" xfId="0" applyFont="1" applyBorder="1" applyAlignment="1" applyProtection="1">
      <alignment horizontal="left" vertical="top"/>
      <protection locked="0"/>
    </xf>
    <xf numFmtId="0" fontId="8" fillId="0" borderId="9" xfId="0" applyFont="1" applyBorder="1" applyAlignment="1" applyProtection="1">
      <alignment horizontal="left" vertical="top"/>
      <protection locked="0"/>
    </xf>
    <xf numFmtId="0" fontId="8" fillId="0" borderId="1" xfId="0" applyFont="1" applyBorder="1" applyAlignment="1" applyProtection="1">
      <alignment horizontal="left" vertical="center"/>
      <protection hidden="1"/>
    </xf>
    <xf numFmtId="0" fontId="8" fillId="0" borderId="2" xfId="0" applyFont="1" applyBorder="1" applyAlignment="1" applyProtection="1">
      <alignment horizontal="left" vertical="center"/>
      <protection hidden="1"/>
    </xf>
    <xf numFmtId="0" fontId="8" fillId="0" borderId="3" xfId="0" applyFont="1" applyBorder="1" applyAlignment="1" applyProtection="1">
      <alignment horizontal="left" vertical="center"/>
      <protection hidden="1"/>
    </xf>
    <xf numFmtId="0" fontId="2" fillId="0" borderId="22" xfId="0" applyFont="1" applyBorder="1" applyAlignment="1" applyProtection="1">
      <alignment horizontal="left" vertical="center"/>
      <protection hidden="1"/>
    </xf>
    <xf numFmtId="0" fontId="14" fillId="0" borderId="22" xfId="0" applyFont="1" applyBorder="1" applyAlignment="1" applyProtection="1">
      <alignment horizontal="center" vertical="center"/>
      <protection hidden="1"/>
    </xf>
    <xf numFmtId="0" fontId="8" fillId="0" borderId="22" xfId="0" applyFont="1" applyBorder="1" applyAlignment="1" applyProtection="1">
      <alignment horizontal="center"/>
      <protection hidden="1"/>
    </xf>
    <xf numFmtId="0" fontId="14" fillId="0" borderId="22" xfId="0" applyFont="1" applyBorder="1" applyAlignment="1" applyProtection="1">
      <alignment horizontal="center"/>
      <protection hidden="1"/>
    </xf>
    <xf numFmtId="0" fontId="8" fillId="0" borderId="4" xfId="0" applyFont="1" applyBorder="1" applyAlignment="1" applyProtection="1">
      <alignment horizontal="center"/>
      <protection hidden="1"/>
    </xf>
    <xf numFmtId="0" fontId="8" fillId="0" borderId="8" xfId="0" applyFont="1" applyBorder="1" applyAlignment="1" applyProtection="1">
      <alignment horizontal="center"/>
      <protection hidden="1"/>
    </xf>
    <xf numFmtId="0" fontId="14" fillId="0" borderId="22" xfId="0" applyFont="1" applyBorder="1" applyAlignment="1" applyProtection="1">
      <alignment horizontal="center" vertical="center" wrapText="1"/>
      <protection hidden="1"/>
    </xf>
    <xf numFmtId="0" fontId="2" fillId="9" borderId="1" xfId="0" applyFont="1" applyFill="1" applyBorder="1" applyAlignment="1" applyProtection="1">
      <alignment horizontal="center" vertical="center"/>
      <protection locked="0"/>
    </xf>
    <xf numFmtId="0" fontId="2" fillId="9" borderId="2" xfId="0" applyFont="1" applyFill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left" vertical="center"/>
      <protection hidden="1"/>
    </xf>
    <xf numFmtId="0" fontId="2" fillId="0" borderId="3" xfId="0" applyFont="1" applyBorder="1" applyAlignment="1" applyProtection="1">
      <alignment horizontal="left" vertical="center"/>
      <protection hidden="1"/>
    </xf>
    <xf numFmtId="0" fontId="2" fillId="0" borderId="1" xfId="0" applyFont="1" applyBorder="1" applyAlignment="1" applyProtection="1">
      <alignment horizontal="left" vertical="center"/>
      <protection hidden="1"/>
    </xf>
    <xf numFmtId="0" fontId="2" fillId="0" borderId="22" xfId="0" applyFont="1" applyBorder="1" applyAlignment="1" applyProtection="1">
      <alignment horizontal="left" vertical="center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164" fontId="8" fillId="0" borderId="0" xfId="0" applyNumberFormat="1" applyFont="1" applyAlignment="1" applyProtection="1">
      <alignment horizontal="left" vertical="center"/>
      <protection locked="0"/>
    </xf>
    <xf numFmtId="0" fontId="14" fillId="2" borderId="22" xfId="0" applyFont="1" applyFill="1" applyBorder="1" applyAlignment="1" applyProtection="1">
      <alignment horizontal="center" vertical="center"/>
      <protection hidden="1"/>
    </xf>
    <xf numFmtId="0" fontId="8" fillId="0" borderId="5" xfId="0" applyFont="1" applyBorder="1" applyAlignment="1" applyProtection="1">
      <alignment horizontal="left" vertical="center"/>
      <protection hidden="1"/>
    </xf>
    <xf numFmtId="0" fontId="8" fillId="0" borderId="4" xfId="0" applyFont="1" applyBorder="1" applyAlignment="1" applyProtection="1">
      <alignment horizontal="left" vertical="center"/>
      <protection hidden="1"/>
    </xf>
    <xf numFmtId="0" fontId="8" fillId="0" borderId="6" xfId="0" applyFont="1" applyBorder="1" applyAlignment="1" applyProtection="1">
      <alignment horizontal="left" vertical="center"/>
      <protection hidden="1"/>
    </xf>
    <xf numFmtId="0" fontId="8" fillId="0" borderId="25" xfId="0" applyFont="1" applyBorder="1" applyAlignment="1" applyProtection="1">
      <alignment horizontal="left" vertical="center"/>
      <protection locked="0"/>
    </xf>
    <xf numFmtId="0" fontId="8" fillId="0" borderId="7" xfId="0" applyFont="1" applyBorder="1" applyAlignment="1" applyProtection="1">
      <alignment horizontal="left" vertical="center"/>
      <protection hidden="1"/>
    </xf>
    <xf numFmtId="0" fontId="8" fillId="0" borderId="8" xfId="0" applyFont="1" applyBorder="1" applyAlignment="1" applyProtection="1">
      <alignment horizontal="left" vertical="center"/>
      <protection hidden="1"/>
    </xf>
    <xf numFmtId="0" fontId="8" fillId="0" borderId="8" xfId="0" applyFont="1" applyBorder="1" applyAlignment="1" applyProtection="1">
      <alignment horizontal="left" vertical="center"/>
      <protection locked="0"/>
    </xf>
    <xf numFmtId="0" fontId="8" fillId="0" borderId="9" xfId="0" applyFont="1" applyBorder="1" applyAlignment="1" applyProtection="1">
      <alignment horizontal="left" vertical="center"/>
      <protection locked="0"/>
    </xf>
    <xf numFmtId="0" fontId="18" fillId="0" borderId="0" xfId="0" applyFont="1" applyAlignment="1" applyProtection="1">
      <alignment horizontal="left" vertical="top"/>
      <protection hidden="1"/>
    </xf>
    <xf numFmtId="0" fontId="14" fillId="0" borderId="0" xfId="0" applyFont="1" applyAlignment="1" applyProtection="1">
      <alignment horizontal="left" vertical="top"/>
      <protection hidden="1"/>
    </xf>
    <xf numFmtId="0" fontId="8" fillId="0" borderId="0" xfId="0" applyFont="1" applyAlignment="1" applyProtection="1">
      <alignment horizontal="left" vertical="center"/>
      <protection hidden="1"/>
    </xf>
    <xf numFmtId="0" fontId="17" fillId="0" borderId="0" xfId="1" applyFont="1" applyAlignment="1" applyProtection="1">
      <alignment horizontal="left"/>
      <protection locked="0"/>
    </xf>
    <xf numFmtId="0" fontId="17" fillId="0" borderId="0" xfId="1" applyFont="1" applyAlignment="1" applyProtection="1">
      <alignment horizontal="left"/>
      <protection hidden="1"/>
    </xf>
    <xf numFmtId="0" fontId="23" fillId="0" borderId="0" xfId="1" applyFont="1" applyAlignment="1" applyProtection="1">
      <alignment horizontal="left"/>
      <protection locked="0"/>
    </xf>
    <xf numFmtId="0" fontId="23" fillId="0" borderId="0" xfId="1" applyFont="1" applyAlignment="1" applyProtection="1">
      <alignment horizontal="left"/>
      <protection hidden="1"/>
    </xf>
    <xf numFmtId="0" fontId="17" fillId="0" borderId="0" xfId="1" applyFont="1" applyAlignment="1" applyProtection="1">
      <alignment horizontal="left" vertical="center"/>
      <protection hidden="1"/>
    </xf>
    <xf numFmtId="0" fontId="23" fillId="0" borderId="2" xfId="1" applyFont="1" applyBorder="1" applyAlignment="1" applyProtection="1">
      <alignment horizontal="left" vertical="center"/>
      <protection hidden="1"/>
    </xf>
    <xf numFmtId="0" fontId="23" fillId="0" borderId="3" xfId="1" applyFont="1" applyBorder="1" applyAlignment="1" applyProtection="1">
      <alignment horizontal="left" vertical="center"/>
      <protection hidden="1"/>
    </xf>
    <xf numFmtId="0" fontId="23" fillId="0" borderId="0" xfId="1" applyFont="1" applyAlignment="1" applyProtection="1">
      <alignment horizontal="left" vertical="center"/>
      <protection hidden="1"/>
    </xf>
    <xf numFmtId="0" fontId="26" fillId="0" borderId="0" xfId="1" applyFont="1" applyAlignment="1" applyProtection="1">
      <alignment horizontal="center"/>
      <protection hidden="1"/>
    </xf>
    <xf numFmtId="0" fontId="7" fillId="0" borderId="5" xfId="1" applyFont="1" applyBorder="1" applyAlignment="1" applyProtection="1">
      <alignment horizontal="center"/>
      <protection hidden="1"/>
    </xf>
    <xf numFmtId="0" fontId="7" fillId="0" borderId="4" xfId="1" applyFont="1" applyBorder="1" applyAlignment="1" applyProtection="1">
      <alignment horizontal="center"/>
      <protection hidden="1"/>
    </xf>
    <xf numFmtId="0" fontId="7" fillId="0" borderId="6" xfId="1" applyFont="1" applyBorder="1" applyAlignment="1" applyProtection="1">
      <alignment horizontal="center"/>
      <protection hidden="1"/>
    </xf>
    <xf numFmtId="0" fontId="32" fillId="0" borderId="7" xfId="1" applyFont="1" applyBorder="1" applyAlignment="1" applyProtection="1">
      <alignment horizontal="center"/>
      <protection hidden="1"/>
    </xf>
    <xf numFmtId="0" fontId="32" fillId="0" borderId="8" xfId="1" applyFont="1" applyBorder="1" applyAlignment="1" applyProtection="1">
      <alignment horizontal="center"/>
      <protection hidden="1"/>
    </xf>
    <xf numFmtId="0" fontId="32" fillId="0" borderId="9" xfId="1" applyFont="1" applyBorder="1" applyAlignment="1" applyProtection="1">
      <alignment horizontal="center"/>
      <protection hidden="1"/>
    </xf>
    <xf numFmtId="0" fontId="19" fillId="0" borderId="2" xfId="1" applyFont="1" applyBorder="1" applyAlignment="1" applyProtection="1">
      <alignment horizontal="left"/>
      <protection hidden="1"/>
    </xf>
    <xf numFmtId="0" fontId="19" fillId="0" borderId="3" xfId="1" applyFont="1" applyBorder="1" applyAlignment="1" applyProtection="1">
      <alignment horizontal="left"/>
      <protection hidden="1"/>
    </xf>
    <xf numFmtId="0" fontId="19" fillId="0" borderId="1" xfId="1" applyFont="1" applyBorder="1" applyAlignment="1" applyProtection="1">
      <alignment horizontal="center"/>
      <protection hidden="1"/>
    </xf>
    <xf numFmtId="0" fontId="19" fillId="0" borderId="3" xfId="1" applyFont="1" applyBorder="1" applyAlignment="1" applyProtection="1">
      <alignment horizontal="center"/>
      <protection hidden="1"/>
    </xf>
    <xf numFmtId="0" fontId="19" fillId="0" borderId="2" xfId="1" applyFont="1" applyBorder="1" applyAlignment="1" applyProtection="1">
      <alignment horizontal="center"/>
      <protection hidden="1"/>
    </xf>
    <xf numFmtId="0" fontId="19" fillId="0" borderId="4" xfId="1" applyFont="1" applyBorder="1" applyAlignment="1" applyProtection="1">
      <alignment horizontal="left"/>
      <protection hidden="1"/>
    </xf>
    <xf numFmtId="0" fontId="19" fillId="0" borderId="6" xfId="1" applyFont="1" applyBorder="1" applyAlignment="1" applyProtection="1">
      <alignment horizontal="left"/>
      <protection hidden="1"/>
    </xf>
    <xf numFmtId="0" fontId="23" fillId="0" borderId="0" xfId="1" applyFont="1" applyAlignment="1" applyProtection="1">
      <alignment horizontal="left" vertical="center" wrapText="1"/>
      <protection hidden="1"/>
    </xf>
    <xf numFmtId="0" fontId="23" fillId="0" borderId="0" xfId="1" applyFont="1" applyAlignment="1" applyProtection="1">
      <alignment horizontal="left" wrapText="1"/>
      <protection hidden="1"/>
    </xf>
    <xf numFmtId="0" fontId="17" fillId="0" borderId="1" xfId="1" applyFont="1" applyBorder="1" applyAlignment="1" applyProtection="1">
      <alignment horizontal="center" vertical="center"/>
      <protection locked="0"/>
    </xf>
    <xf numFmtId="0" fontId="17" fillId="0" borderId="3" xfId="1" applyFont="1" applyBorder="1" applyAlignment="1" applyProtection="1">
      <alignment horizontal="center" vertical="center"/>
      <protection locked="0"/>
    </xf>
    <xf numFmtId="0" fontId="17" fillId="0" borderId="2" xfId="1" applyFont="1" applyBorder="1" applyAlignment="1" applyProtection="1">
      <alignment horizontal="center" vertical="center"/>
      <protection locked="0"/>
    </xf>
    <xf numFmtId="0" fontId="17" fillId="0" borderId="1" xfId="1" applyFont="1" applyBorder="1" applyAlignment="1" applyProtection="1">
      <alignment horizontal="center" vertical="center"/>
      <protection hidden="1"/>
    </xf>
    <xf numFmtId="0" fontId="17" fillId="0" borderId="3" xfId="1" applyFont="1" applyBorder="1" applyAlignment="1" applyProtection="1">
      <alignment horizontal="center" vertical="center"/>
      <protection hidden="1"/>
    </xf>
    <xf numFmtId="0" fontId="17" fillId="0" borderId="2" xfId="1" applyFont="1" applyBorder="1" applyAlignment="1" applyProtection="1">
      <alignment horizontal="center" vertical="center"/>
      <protection hidden="1"/>
    </xf>
    <xf numFmtId="0" fontId="17" fillId="0" borderId="0" xfId="1" applyFont="1" applyAlignment="1" applyProtection="1">
      <alignment horizontal="center" vertical="center"/>
      <protection locked="0"/>
    </xf>
    <xf numFmtId="0" fontId="17" fillId="0" borderId="5" xfId="0" applyFont="1" applyBorder="1" applyAlignment="1" applyProtection="1">
      <alignment horizontal="left" vertical="top" wrapText="1"/>
      <protection hidden="1"/>
    </xf>
    <xf numFmtId="0" fontId="17" fillId="0" borderId="4" xfId="0" applyFont="1" applyBorder="1" applyAlignment="1" applyProtection="1">
      <alignment horizontal="left" vertical="top" wrapText="1"/>
      <protection hidden="1"/>
    </xf>
    <xf numFmtId="0" fontId="17" fillId="0" borderId="6" xfId="0" applyFont="1" applyBorder="1" applyAlignment="1" applyProtection="1">
      <alignment horizontal="left" vertical="top" wrapText="1"/>
      <protection hidden="1"/>
    </xf>
    <xf numFmtId="0" fontId="17" fillId="0" borderId="24" xfId="0" applyFont="1" applyBorder="1" applyAlignment="1" applyProtection="1">
      <alignment horizontal="left" vertical="top" wrapText="1"/>
      <protection hidden="1"/>
    </xf>
    <xf numFmtId="0" fontId="17" fillId="0" borderId="0" xfId="0" applyFont="1" applyAlignment="1" applyProtection="1">
      <alignment horizontal="left" vertical="top" wrapText="1"/>
      <protection hidden="1"/>
    </xf>
    <xf numFmtId="0" fontId="17" fillId="0" borderId="23" xfId="0" applyFont="1" applyBorder="1" applyAlignment="1" applyProtection="1">
      <alignment horizontal="left" vertical="top" wrapText="1"/>
      <protection hidden="1"/>
    </xf>
    <xf numFmtId="0" fontId="17" fillId="0" borderId="7" xfId="0" applyFont="1" applyBorder="1" applyAlignment="1" applyProtection="1">
      <alignment horizontal="left" vertical="top" wrapText="1"/>
      <protection hidden="1"/>
    </xf>
    <xf numFmtId="0" fontId="17" fillId="0" borderId="8" xfId="0" applyFont="1" applyBorder="1" applyAlignment="1" applyProtection="1">
      <alignment horizontal="left" vertical="top" wrapText="1"/>
      <protection hidden="1"/>
    </xf>
    <xf numFmtId="0" fontId="17" fillId="0" borderId="9" xfId="0" applyFont="1" applyBorder="1" applyAlignment="1" applyProtection="1">
      <alignment horizontal="left" vertical="top" wrapText="1"/>
      <protection hidden="1"/>
    </xf>
    <xf numFmtId="0" fontId="17" fillId="0" borderId="0" xfId="1" applyFont="1" applyAlignment="1" applyProtection="1">
      <alignment horizontal="left" vertical="center"/>
      <protection locked="0"/>
    </xf>
    <xf numFmtId="0" fontId="23" fillId="0" borderId="0" xfId="1" applyFont="1" applyAlignment="1" applyProtection="1">
      <alignment horizontal="left" vertical="center"/>
      <protection locked="0"/>
    </xf>
    <xf numFmtId="0" fontId="23" fillId="0" borderId="0" xfId="1" applyFont="1" applyAlignment="1" applyProtection="1">
      <alignment vertical="center"/>
      <protection hidden="1"/>
    </xf>
    <xf numFmtId="0" fontId="38" fillId="5" borderId="22" xfId="1" applyFont="1" applyFill="1" applyBorder="1" applyAlignment="1" applyProtection="1">
      <alignment horizontal="center" vertical="center"/>
      <protection hidden="1"/>
    </xf>
    <xf numFmtId="0" fontId="17" fillId="0" borderId="22" xfId="1" applyFont="1" applyBorder="1" applyAlignment="1" applyProtection="1">
      <alignment horizontal="left"/>
      <protection locked="0"/>
    </xf>
    <xf numFmtId="0" fontId="17" fillId="0" borderId="22" xfId="0" applyFont="1" applyBorder="1" applyAlignment="1" applyProtection="1">
      <alignment horizontal="left" vertical="center"/>
      <protection locked="0"/>
    </xf>
    <xf numFmtId="0" fontId="17" fillId="0" borderId="0" xfId="0" applyFont="1" applyAlignment="1" applyProtection="1">
      <alignment horizontal="left" vertical="center"/>
      <protection locked="0"/>
    </xf>
    <xf numFmtId="0" fontId="62" fillId="0" borderId="0" xfId="1" applyFont="1" applyAlignment="1" applyProtection="1">
      <alignment horizontal="center" vertical="justify" wrapText="1"/>
      <protection hidden="1"/>
    </xf>
    <xf numFmtId="0" fontId="3" fillId="0" borderId="22" xfId="1" applyFont="1" applyBorder="1" applyAlignment="1" applyProtection="1">
      <alignment horizontal="center" vertical="top"/>
      <protection hidden="1"/>
    </xf>
    <xf numFmtId="0" fontId="3" fillId="0" borderId="1" xfId="1" applyFont="1" applyBorder="1" applyAlignment="1" applyProtection="1">
      <alignment horizontal="center"/>
      <protection hidden="1"/>
    </xf>
    <xf numFmtId="0" fontId="3" fillId="0" borderId="2" xfId="1" applyFont="1" applyBorder="1" applyAlignment="1" applyProtection="1">
      <alignment horizontal="center"/>
      <protection hidden="1"/>
    </xf>
    <xf numFmtId="0" fontId="3" fillId="0" borderId="3" xfId="1" applyFont="1" applyBorder="1" applyAlignment="1" applyProtection="1">
      <alignment horizontal="center"/>
      <protection hidden="1"/>
    </xf>
    <xf numFmtId="0" fontId="17" fillId="0" borderId="2" xfId="1" applyFont="1" applyBorder="1" applyAlignment="1" applyProtection="1">
      <alignment horizontal="left"/>
      <protection hidden="1"/>
    </xf>
    <xf numFmtId="0" fontId="17" fillId="0" borderId="3" xfId="1" applyFont="1" applyBorder="1" applyAlignment="1" applyProtection="1">
      <alignment horizontal="left"/>
      <protection hidden="1"/>
    </xf>
    <xf numFmtId="0" fontId="17" fillId="0" borderId="2" xfId="1" applyFont="1" applyBorder="1" applyAlignment="1" applyProtection="1">
      <protection hidden="1"/>
    </xf>
    <xf numFmtId="0" fontId="17" fillId="0" borderId="3" xfId="1" applyFont="1" applyBorder="1" applyAlignment="1" applyProtection="1">
      <protection hidden="1"/>
    </xf>
    <xf numFmtId="0" fontId="17" fillId="0" borderId="8" xfId="1" applyFont="1" applyBorder="1" applyAlignment="1" applyProtection="1">
      <alignment horizontal="left"/>
      <protection hidden="1"/>
    </xf>
    <xf numFmtId="0" fontId="17" fillId="0" borderId="9" xfId="1" applyFont="1" applyBorder="1" applyAlignment="1" applyProtection="1">
      <alignment horizontal="left"/>
      <protection hidden="1"/>
    </xf>
    <xf numFmtId="0" fontId="17" fillId="0" borderId="2" xfId="1" applyFont="1" applyBorder="1" applyAlignment="1" applyProtection="1">
      <alignment horizontal="left" vertical="center"/>
      <protection hidden="1"/>
    </xf>
    <xf numFmtId="0" fontId="17" fillId="0" borderId="3" xfId="1" applyFont="1" applyBorder="1" applyAlignment="1" applyProtection="1">
      <alignment horizontal="left" vertical="center"/>
      <protection hidden="1"/>
    </xf>
    <xf numFmtId="0" fontId="17" fillId="0" borderId="2" xfId="1" applyFont="1" applyBorder="1" applyAlignment="1" applyProtection="1">
      <alignment horizontal="left"/>
      <protection locked="0"/>
    </xf>
    <xf numFmtId="0" fontId="17" fillId="0" borderId="3" xfId="1" applyFont="1" applyBorder="1" applyAlignment="1" applyProtection="1">
      <alignment horizontal="left"/>
      <protection locked="0"/>
    </xf>
    <xf numFmtId="0" fontId="17" fillId="0" borderId="8" xfId="1" applyFont="1" applyBorder="1" applyAlignment="1" applyProtection="1">
      <alignment horizontal="left"/>
      <protection locked="0"/>
    </xf>
    <xf numFmtId="0" fontId="3" fillId="0" borderId="5" xfId="1" applyFont="1" applyBorder="1" applyAlignment="1" applyProtection="1">
      <alignment horizontal="left"/>
      <protection hidden="1"/>
    </xf>
    <xf numFmtId="0" fontId="3" fillId="0" borderId="4" xfId="1" applyFont="1" applyBorder="1" applyAlignment="1" applyProtection="1">
      <alignment horizontal="left"/>
      <protection hidden="1"/>
    </xf>
    <xf numFmtId="0" fontId="3" fillId="0" borderId="6" xfId="1" applyFont="1" applyBorder="1" applyAlignment="1" applyProtection="1">
      <alignment horizontal="left"/>
      <protection hidden="1"/>
    </xf>
    <xf numFmtId="0" fontId="3" fillId="0" borderId="0" xfId="1" applyFont="1" applyAlignment="1" applyProtection="1">
      <alignment horizontal="center"/>
      <protection hidden="1"/>
    </xf>
    <xf numFmtId="0" fontId="17" fillId="0" borderId="0" xfId="1" applyFont="1" applyAlignment="1" applyProtection="1">
      <alignment horizontal="center"/>
      <protection hidden="1"/>
    </xf>
    <xf numFmtId="0" fontId="34" fillId="0" borderId="0" xfId="0" applyFont="1" applyAlignment="1" applyProtection="1">
      <alignment horizontal="center" vertical="center"/>
      <protection hidden="1"/>
    </xf>
    <xf numFmtId="0" fontId="17" fillId="0" borderId="25" xfId="1" applyFont="1" applyBorder="1" applyAlignment="1" applyProtection="1">
      <alignment horizontal="left" vertical="center"/>
      <protection locked="0"/>
    </xf>
    <xf numFmtId="0" fontId="3" fillId="0" borderId="0" xfId="1" applyFont="1" applyAlignment="1" applyProtection="1">
      <alignment horizontal="left" vertical="center"/>
      <protection hidden="1"/>
    </xf>
    <xf numFmtId="164" fontId="17" fillId="0" borderId="25" xfId="1" applyNumberFormat="1" applyFont="1" applyBorder="1" applyAlignment="1" applyProtection="1">
      <alignment horizontal="left" vertical="center"/>
      <protection locked="0"/>
    </xf>
    <xf numFmtId="0" fontId="23" fillId="0" borderId="25" xfId="1" applyFont="1" applyBorder="1" applyAlignment="1" applyProtection="1">
      <alignment horizontal="left"/>
      <protection locked="0"/>
    </xf>
    <xf numFmtId="0" fontId="17" fillId="0" borderId="25" xfId="0" applyFont="1" applyBorder="1" applyAlignment="1" applyProtection="1">
      <alignment horizontal="left" vertical="center"/>
      <protection locked="0"/>
    </xf>
    <xf numFmtId="0" fontId="3" fillId="0" borderId="0" xfId="1" applyFont="1" applyAlignment="1" applyProtection="1">
      <alignment horizontal="center" vertical="top"/>
      <protection hidden="1"/>
    </xf>
    <xf numFmtId="0" fontId="17" fillId="0" borderId="0" xfId="1" applyFont="1" applyAlignment="1" applyProtection="1">
      <protection hidden="1"/>
    </xf>
    <xf numFmtId="0" fontId="3" fillId="0" borderId="0" xfId="1" applyFont="1" applyAlignment="1" applyProtection="1">
      <alignment horizontal="left"/>
      <protection hidden="1"/>
    </xf>
    <xf numFmtId="0" fontId="7" fillId="0" borderId="0" xfId="1" applyFont="1" applyAlignment="1" applyProtection="1">
      <alignment horizontal="left" vertical="center"/>
      <protection hidden="1"/>
    </xf>
    <xf numFmtId="0" fontId="0" fillId="10" borderId="0" xfId="0" applyFill="1" applyAlignment="1">
      <alignment horizontal="center"/>
    </xf>
  </cellXfs>
  <cellStyles count="3">
    <cellStyle name="Hyperlink" xfId="2" builtinId="8"/>
    <cellStyle name="Normal" xfId="0" builtinId="0"/>
    <cellStyle name="Normal 2" xfId="1" xr:uid="{5E7143D0-D301-4DAC-A612-0057384B4843}"/>
  </cellStyles>
  <dxfs count="156"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 patternType="solid">
          <fgColor auto="1"/>
          <bgColor theme="1" tint="0.34998626667073579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bottom style="thin">
          <color theme="0" tint="-0.24994659260841701"/>
        </bottom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bottom style="thin">
          <color theme="0" tint="-0.24994659260841701"/>
        </bottom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/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CONTROLS!$B$14" lockText="1" noThreeD="1"/>
</file>

<file path=xl/ctrlProps/ctrlProp2.xml><?xml version="1.0" encoding="utf-8"?>
<formControlPr xmlns="http://schemas.microsoft.com/office/spreadsheetml/2009/9/main" objectType="CheckBox" fmlaLink="CONTROLS!$B$15" lockText="1" noThreeD="1"/>
</file>

<file path=xl/ctrlProps/ctrlProp3.xml><?xml version="1.0" encoding="utf-8"?>
<formControlPr xmlns="http://schemas.microsoft.com/office/spreadsheetml/2009/9/main" objectType="CheckBox" fmlaLink="CONTROLS!$B$16" lockText="1" noThreeD="1"/>
</file>

<file path=xl/ctrlProps/ctrlProp4.xml><?xml version="1.0" encoding="utf-8"?>
<formControlPr xmlns="http://schemas.microsoft.com/office/spreadsheetml/2009/9/main" objectType="CheckBox" fmlaLink="CONTROLS!$B$17" lockText="1" noThreeD="1"/>
</file>

<file path=xl/ctrlProps/ctrlProp5.xml><?xml version="1.0" encoding="utf-8"?>
<formControlPr xmlns="http://schemas.microsoft.com/office/spreadsheetml/2009/9/main" objectType="CheckBox" fmlaLink="CONTROLS!$B$18" lockText="1" noThreeD="1"/>
</file>

<file path=xl/ctrlProps/ctrlProp6.xml><?xml version="1.0" encoding="utf-8"?>
<formControlPr xmlns="http://schemas.microsoft.com/office/spreadsheetml/2009/9/main" objectType="CheckBox" fmlaLink="CONTROLS!$B$19" lockText="1" noThreeD="1"/>
</file>

<file path=xl/ctrlProps/ctrlProp7.xml><?xml version="1.0" encoding="utf-8"?>
<formControlPr xmlns="http://schemas.microsoft.com/office/spreadsheetml/2009/9/main" objectType="CheckBox" fmlaLink="CONTROLS!$B$20" lockText="1" noThreeD="1"/>
</file>

<file path=xl/ctrlProps/ctrlProp8.xml><?xml version="1.0" encoding="utf-8"?>
<formControlPr xmlns="http://schemas.microsoft.com/office/spreadsheetml/2009/9/main" objectType="CheckBox" checked="Checked" fmlaLink="CONTROLS!$B$21" lockText="1" noThreeD="1"/>
</file>

<file path=xl/ctrlProps/ctrlProp9.xml><?xml version="1.0" encoding="utf-8"?>
<formControlPr xmlns="http://schemas.microsoft.com/office/spreadsheetml/2009/9/main" objectType="CheckBox" fmlaLink="CONTROLS!$B$22" lockText="1" noThreeD="1"/>
</file>

<file path=xl/ctrlProps/ctrlProp10.xml><?xml version="1.0" encoding="utf-8"?>
<formControlPr xmlns="http://schemas.microsoft.com/office/spreadsheetml/2009/9/main" objectType="CheckBox" fmlaLink="CONTROLS!$B$23" lockText="1" noThreeD="1"/>
</file>

<file path=xl/ctrlProps/ctrlProp11.xml><?xml version="1.0" encoding="utf-8"?>
<formControlPr xmlns="http://schemas.microsoft.com/office/spreadsheetml/2009/9/main" objectType="CheckBox" fmlaLink="CONTROLS!$B$24" lockText="1" noThreeD="1"/>
</file>

<file path=xl/ctrlProps/ctrlProp12.xml><?xml version="1.0" encoding="utf-8"?>
<formControlPr xmlns="http://schemas.microsoft.com/office/spreadsheetml/2009/9/main" objectType="CheckBox" checked="Checked" fmlaLink="CONTROLS!$B$25" lockText="1" noThreeD="1"/>
</file>

<file path=xl/ctrlProps/ctrlProp13.xml><?xml version="1.0" encoding="utf-8"?>
<formControlPr xmlns="http://schemas.microsoft.com/office/spreadsheetml/2009/9/main" objectType="CheckBox" checked="Checked" fmlaLink="CONTROLS!$B$26" lockText="1" noThreeD="1"/>
</file>

<file path=xl/ctrlProps/ctrlProp14.xml><?xml version="1.0" encoding="utf-8"?>
<formControlPr xmlns="http://schemas.microsoft.com/office/spreadsheetml/2009/9/main" objectType="CheckBox" fmlaLink="CONTROLS!$B$27" lockText="1" noThreeD="1"/>
</file>

<file path=xl/ctrlProps/ctrlProp15.xml><?xml version="1.0" encoding="utf-8"?>
<formControlPr xmlns="http://schemas.microsoft.com/office/spreadsheetml/2009/9/main" objectType="CheckBox" checked="Checked" fmlaLink="CONTROLS!$B$28" lockText="1" noThreeD="1"/>
</file>

<file path=xl/ctrlProps/ctrlProp16.xml><?xml version="1.0" encoding="utf-8"?>
<formControlPr xmlns="http://schemas.microsoft.com/office/spreadsheetml/2009/9/main" objectType="CheckBox" fmlaLink="CONTROLS!$B$29" lockText="1" noThreeD="1"/>
</file>

<file path=xl/ctrlProps/ctrlProp17.xml><?xml version="1.0" encoding="utf-8"?>
<formControlPr xmlns="http://schemas.microsoft.com/office/spreadsheetml/2009/9/main" objectType="CheckBox" fmlaLink="CONTROLS!$B$30" lockText="1" noThreeD="1"/>
</file>

<file path=xl/ctrlProps/ctrlProp18.xml><?xml version="1.0" encoding="utf-8"?>
<formControlPr xmlns="http://schemas.microsoft.com/office/spreadsheetml/2009/9/main" objectType="CheckBox" checked="Checked" fmlaLink="CONTROLS!$B$31" lockText="1" noThreeD="1"/>
</file>

<file path=xl/ctrlProps/ctrlProp19.xml><?xml version="1.0" encoding="utf-8"?>
<formControlPr xmlns="http://schemas.microsoft.com/office/spreadsheetml/2009/9/main" objectType="CheckBox" fmlaLink="CONTROLS!$B$32" lockText="1" noThreeD="1"/>
</file>

<file path=xl/ctrlProps/ctrlProp20.xml><?xml version="1.0" encoding="utf-8"?>
<formControlPr xmlns="http://schemas.microsoft.com/office/spreadsheetml/2009/9/main" objectType="CheckBox" fmlaLink="CONTROLS!$B$2" lockText="1" noThreeD="1"/>
</file>

<file path=xl/ctrlProps/ctrlProp21.xml><?xml version="1.0" encoding="utf-8"?>
<formControlPr xmlns="http://schemas.microsoft.com/office/spreadsheetml/2009/9/main" objectType="CheckBox" checked="Checked" fmlaLink="CONTROLS!$B$3" lockText="1" noThreeD="1"/>
</file>

<file path=xl/ctrlProps/ctrlProp22.xml><?xml version="1.0" encoding="utf-8"?>
<formControlPr xmlns="http://schemas.microsoft.com/office/spreadsheetml/2009/9/main" objectType="CheckBox" fmlaLink="CONTROLS!$B$5" lockText="1" noThreeD="1"/>
</file>

<file path=xl/ctrlProps/ctrlProp23.xml><?xml version="1.0" encoding="utf-8"?>
<formControlPr xmlns="http://schemas.microsoft.com/office/spreadsheetml/2009/9/main" objectType="CheckBox" fmlaLink="CONTROLS!$B$6" lockText="1" noThreeD="1"/>
</file>

<file path=xl/ctrlProps/ctrlProp24.xml><?xml version="1.0" encoding="utf-8"?>
<formControlPr xmlns="http://schemas.microsoft.com/office/spreadsheetml/2009/9/main" objectType="CheckBox" fmlaLink="CONTROLS!$B$8" lockText="1" noThreeD="1"/>
</file>

<file path=xl/ctrlProps/ctrlProp25.xml><?xml version="1.0" encoding="utf-8"?>
<formControlPr xmlns="http://schemas.microsoft.com/office/spreadsheetml/2009/9/main" objectType="CheckBox" fmlaLink="CONTROLS!$B$9" lockText="1" noThreeD="1"/>
</file>

<file path=xl/ctrlProps/ctrlProp26.xml><?xml version="1.0" encoding="utf-8"?>
<formControlPr xmlns="http://schemas.microsoft.com/office/spreadsheetml/2009/9/main" objectType="CheckBox" fmlaLink="CONTROLS!$B$11" lockText="1" noThreeD="1"/>
</file>

<file path=xl/ctrlProps/ctrlProp27.xml><?xml version="1.0" encoding="utf-8"?>
<formControlPr xmlns="http://schemas.microsoft.com/office/spreadsheetml/2009/9/main" objectType="CheckBox" fmlaLink="CONTROLS!$B$12" lockText="1" noThreeD="1"/>
</file>

<file path=xl/ctrlProps/ctrlProp28.xml><?xml version="1.0" encoding="utf-8"?>
<formControlPr xmlns="http://schemas.microsoft.com/office/spreadsheetml/2009/9/main" objectType="CheckBox" checked="Checked" fmlaLink="CONTROLS!$C$2" lockText="1" noThreeD="1"/>
</file>

<file path=xl/ctrlProps/ctrlProp29.xml><?xml version="1.0" encoding="utf-8"?>
<formControlPr xmlns="http://schemas.microsoft.com/office/spreadsheetml/2009/9/main" objectType="CheckBox" fmlaLink="CONTROLS!$C$3" lockText="1" noThreeD="1"/>
</file>

<file path=xl/ctrlProps/ctrlProp30.xml><?xml version="1.0" encoding="utf-8"?>
<formControlPr xmlns="http://schemas.microsoft.com/office/spreadsheetml/2009/9/main" objectType="CheckBox" fmlaLink="CONTROLS!$C$10" lockText="1" noThreeD="1"/>
</file>

<file path=xl/ctrlProps/ctrlProp31.xml><?xml version="1.0" encoding="utf-8"?>
<formControlPr xmlns="http://schemas.microsoft.com/office/spreadsheetml/2009/9/main" objectType="CheckBox" fmlaLink="CONTROLS!$C$5" lockText="1" noThreeD="1"/>
</file>

<file path=xl/ctrlProps/ctrlProp32.xml><?xml version="1.0" encoding="utf-8"?>
<formControlPr xmlns="http://schemas.microsoft.com/office/spreadsheetml/2009/9/main" objectType="CheckBox" fmlaLink="CONTROLS!$C$8" lockText="1" noThreeD="1"/>
</file>

<file path=xl/ctrlProps/ctrlProp33.xml><?xml version="1.0" encoding="utf-8"?>
<formControlPr xmlns="http://schemas.microsoft.com/office/spreadsheetml/2009/9/main" objectType="CheckBox" fmlaLink="CONTROLS!$C$4" lockText="1" noThreeD="1"/>
</file>

<file path=xl/ctrlProps/ctrlProp34.xml><?xml version="1.0" encoding="utf-8"?>
<formControlPr xmlns="http://schemas.microsoft.com/office/spreadsheetml/2009/9/main" objectType="CheckBox" fmlaLink="CONTROLS!$C$9" lockText="1" noThreeD="1"/>
</file>

<file path=xl/ctrlProps/ctrlProp35.xml><?xml version="1.0" encoding="utf-8"?>
<formControlPr xmlns="http://schemas.microsoft.com/office/spreadsheetml/2009/9/main" objectType="CheckBox" checked="Checked" fmlaLink="CONTROLS!$C$6" lockText="1" noThreeD="1"/>
</file>

<file path=xl/ctrlProps/ctrlProp36.xml><?xml version="1.0" encoding="utf-8"?>
<formControlPr xmlns="http://schemas.microsoft.com/office/spreadsheetml/2009/9/main" objectType="CheckBox" fmlaLink="CONTROLS!$C$7" lockText="1" noThreeD="1"/>
</file>

<file path=xl/ctrlProps/ctrlProp37.xml><?xml version="1.0" encoding="utf-8"?>
<formControlPr xmlns="http://schemas.microsoft.com/office/spreadsheetml/2009/9/main" objectType="CheckBox" fmlaLink="CONTROLS!$C$13" lockText="1" noThreeD="1"/>
</file>

<file path=xl/ctrlProps/ctrlProp38.xml><?xml version="1.0" encoding="utf-8"?>
<formControlPr xmlns="http://schemas.microsoft.com/office/spreadsheetml/2009/9/main" objectType="CheckBox" fmlaLink="CONTROLS!$C$11" lockText="1" noThreeD="1"/>
</file>

<file path=xl/ctrlProps/ctrlProp39.xml><?xml version="1.0" encoding="utf-8"?>
<formControlPr xmlns="http://schemas.microsoft.com/office/spreadsheetml/2009/9/main" objectType="CheckBox" fmlaLink="CONTROLS!$C$12" lockText="1" noThreeD="1"/>
</file>

<file path=xl/ctrlProps/ctrlProp40.xml><?xml version="1.0" encoding="utf-8"?>
<formControlPr xmlns="http://schemas.microsoft.com/office/spreadsheetml/2009/9/main" objectType="CheckBox" fmlaLink="CONTROLS!$D$2" lockText="1" noThreeD="1"/>
</file>

<file path=xl/ctrlProps/ctrlProp41.xml><?xml version="1.0" encoding="utf-8"?>
<formControlPr xmlns="http://schemas.microsoft.com/office/spreadsheetml/2009/9/main" objectType="CheckBox" fmlaLink="CONTROLS!$D$3" lockText="1" noThreeD="1"/>
</file>

<file path=xl/ctrlProps/ctrlProp42.xml><?xml version="1.0" encoding="utf-8"?>
<formControlPr xmlns="http://schemas.microsoft.com/office/spreadsheetml/2009/9/main" objectType="CheckBox" fmlaLink="CONTROLS!$D$4" lockText="1" noThreeD="1"/>
</file>

<file path=xl/ctrlProps/ctrlProp43.xml><?xml version="1.0" encoding="utf-8"?>
<formControlPr xmlns="http://schemas.microsoft.com/office/spreadsheetml/2009/9/main" objectType="CheckBox" checked="Checked" fmlaLink="CONTROLS!$D$7" lockText="1" noThreeD="1"/>
</file>

<file path=xl/ctrlProps/ctrlProp44.xml><?xml version="1.0" encoding="utf-8"?>
<formControlPr xmlns="http://schemas.microsoft.com/office/spreadsheetml/2009/9/main" objectType="CheckBox" fmlaLink="CONTROLS!$D$8" lockText="1" noThreeD="1"/>
</file>

<file path=xl/ctrlProps/ctrlProp45.xml><?xml version="1.0" encoding="utf-8"?>
<formControlPr xmlns="http://schemas.microsoft.com/office/spreadsheetml/2009/9/main" objectType="CheckBox" fmlaLink="CONTROLS!$D$9" lockText="1" noThreeD="1"/>
</file>

<file path=xl/ctrlProps/ctrlProp46.xml><?xml version="1.0" encoding="utf-8"?>
<formControlPr xmlns="http://schemas.microsoft.com/office/spreadsheetml/2009/9/main" objectType="CheckBox" checked="Checked" fmlaLink="CONTROLS!$D$16" lockText="1" noThreeD="1"/>
</file>

<file path=xl/ctrlProps/ctrlProp47.xml><?xml version="1.0" encoding="utf-8"?>
<formControlPr xmlns="http://schemas.microsoft.com/office/spreadsheetml/2009/9/main" objectType="CheckBox" fmlaLink="CONTROLS!$D$11" lockText="1" noThreeD="1"/>
</file>

<file path=xl/ctrlProps/ctrlProp48.xml><?xml version="1.0" encoding="utf-8"?>
<formControlPr xmlns="http://schemas.microsoft.com/office/spreadsheetml/2009/9/main" objectType="CheckBox" fmlaLink="CONTROLS!$D$10" lockText="1" noThreeD="1"/>
</file>

<file path=xl/ctrlProps/ctrlProp49.xml><?xml version="1.0" encoding="utf-8"?>
<formControlPr xmlns="http://schemas.microsoft.com/office/spreadsheetml/2009/9/main" objectType="CheckBox" fmlaLink="CONTROLS!$D$12" lockText="1" noThreeD="1"/>
</file>

<file path=xl/ctrlProps/ctrlProp50.xml><?xml version="1.0" encoding="utf-8"?>
<formControlPr xmlns="http://schemas.microsoft.com/office/spreadsheetml/2009/9/main" objectType="CheckBox" checked="Checked" fmlaLink="CONTROLS!$D$18" lockText="1" noThreeD="1"/>
</file>

<file path=xl/ctrlProps/ctrlProp51.xml><?xml version="1.0" encoding="utf-8"?>
<formControlPr xmlns="http://schemas.microsoft.com/office/spreadsheetml/2009/9/main" objectType="CheckBox" checked="Checked" fmlaLink="CONTROLS!$D$17" lockText="1" noThreeD="1"/>
</file>

<file path=xl/ctrlProps/ctrlProp52.xml><?xml version="1.0" encoding="utf-8"?>
<formControlPr xmlns="http://schemas.microsoft.com/office/spreadsheetml/2009/9/main" objectType="CheckBox" checked="Checked" fmlaLink="CONTROLS!$D$15" lockText="1" noThreeD="1"/>
</file>

<file path=xl/ctrlProps/ctrlProp53.xml><?xml version="1.0" encoding="utf-8"?>
<formControlPr xmlns="http://schemas.microsoft.com/office/spreadsheetml/2009/9/main" objectType="CheckBox" fmlaLink="CONTROLS!$D$13" lockText="1" noThreeD="1"/>
</file>

<file path=xl/ctrlProps/ctrlProp54.xml><?xml version="1.0" encoding="utf-8"?>
<formControlPr xmlns="http://schemas.microsoft.com/office/spreadsheetml/2009/9/main" objectType="CheckBox" checked="Checked" fmlaLink="CONTROLS!$D$19" lockText="1" noThreeD="1"/>
</file>

<file path=xl/ctrlProps/ctrlProp55.xml><?xml version="1.0" encoding="utf-8"?>
<formControlPr xmlns="http://schemas.microsoft.com/office/spreadsheetml/2009/9/main" objectType="CheckBox" fmlaLink="CONTROLS!$D$14" lockText="1" noThreeD="1"/>
</file>

<file path=xl/ctrlProps/ctrlProp56.xml><?xml version="1.0" encoding="utf-8"?>
<formControlPr xmlns="http://schemas.microsoft.com/office/spreadsheetml/2009/9/main" objectType="CheckBox" checked="Checked" fmlaLink="CONTROLS!$D$20" lockText="1" noThreeD="1"/>
</file>

<file path=xl/ctrlProps/ctrlProp57.xml><?xml version="1.0" encoding="utf-8"?>
<formControlPr xmlns="http://schemas.microsoft.com/office/spreadsheetml/2009/9/main" objectType="CheckBox" checked="Checked" fmlaLink="CONTROLS!$D$5" lockText="1" noThreeD="1"/>
</file>

<file path=xl/ctrlProps/ctrlProp58.xml><?xml version="1.0" encoding="utf-8"?>
<formControlPr xmlns="http://schemas.microsoft.com/office/spreadsheetml/2009/9/main" objectType="CheckBox" fmlaLink="CONTROLS!$D$6" lockText="1" noThreeD="1"/>
</file>

<file path=xl/ctrlProps/ctrlProp59.xml><?xml version="1.0" encoding="utf-8"?>
<formControlPr xmlns="http://schemas.microsoft.com/office/spreadsheetml/2009/9/main" objectType="CheckBox" checked="Checked" fmlaLink="CONTROLS!$C$14" lockText="1" noThreeD="1"/>
</file>

<file path=xl/ctrlProps/ctrlProp60.xml><?xml version="1.0" encoding="utf-8"?>
<formControlPr xmlns="http://schemas.microsoft.com/office/spreadsheetml/2009/9/main" objectType="CheckBox" fmlaLink="CONTROLS!$C$15" lockText="1" noThreeD="1"/>
</file>

<file path=xl/ctrlProps/ctrlProp61.xml><?xml version="1.0" encoding="utf-8"?>
<formControlPr xmlns="http://schemas.microsoft.com/office/spreadsheetml/2009/9/main" objectType="CheckBox" fmlaLink="CONTROLS!$D$21" lockText="1" noThreeD="1"/>
</file>

<file path=xl/ctrlProps/ctrlProp62.xml><?xml version="1.0" encoding="utf-8"?>
<formControlPr xmlns="http://schemas.microsoft.com/office/spreadsheetml/2009/9/main" objectType="CheckBox" fmlaLink="CONTROLS!$D$22" lockText="1" noThreeD="1"/>
</file>

<file path=xl/ctrlProps/ctrlProp63.xml><?xml version="1.0" encoding="utf-8"?>
<formControlPr xmlns="http://schemas.microsoft.com/office/spreadsheetml/2009/9/main" objectType="CheckBox" fmlaLink="CONTROLS!$D$23" lockText="1" noThreeD="1"/>
</file>

<file path=xl/ctrlProps/ctrlProp64.xml><?xml version="1.0" encoding="utf-8"?>
<formControlPr xmlns="http://schemas.microsoft.com/office/spreadsheetml/2009/9/main" objectType="CheckBox" fmlaLink="CONTROLS!$F$3" lockText="1" noThreeD="1"/>
</file>

<file path=xl/ctrlProps/ctrlProp65.xml><?xml version="1.0" encoding="utf-8"?>
<formControlPr xmlns="http://schemas.microsoft.com/office/spreadsheetml/2009/9/main" objectType="CheckBox" fmlaLink="CONTROLS!$F$4" lockText="1" noThreeD="1"/>
</file>

<file path=xl/ctrlProps/ctrlProp66.xml><?xml version="1.0" encoding="utf-8"?>
<formControlPr xmlns="http://schemas.microsoft.com/office/spreadsheetml/2009/9/main" objectType="CheckBox" fmlaLink="CONTROLS!$F$5" lockText="1" noThreeD="1"/>
</file>

<file path=xl/ctrlProps/ctrlProp67.xml><?xml version="1.0" encoding="utf-8"?>
<formControlPr xmlns="http://schemas.microsoft.com/office/spreadsheetml/2009/9/main" objectType="CheckBox" fmlaLink="CONTROLS!$F$6" lockText="1" noThreeD="1"/>
</file>

<file path=xl/ctrlProps/ctrlProp68.xml><?xml version="1.0" encoding="utf-8"?>
<formControlPr xmlns="http://schemas.microsoft.com/office/spreadsheetml/2009/9/main" objectType="CheckBox" fmlaLink="CONTROLS!$F$7" lockText="1" noThreeD="1"/>
</file>

<file path=xl/ctrlProps/ctrlProp69.xml><?xml version="1.0" encoding="utf-8"?>
<formControlPr xmlns="http://schemas.microsoft.com/office/spreadsheetml/2009/9/main" objectType="CheckBox" fmlaLink="CONTROLS!$F$11" lockText="1" noThreeD="1"/>
</file>

<file path=xl/ctrlProps/ctrlProp70.xml><?xml version="1.0" encoding="utf-8"?>
<formControlPr xmlns="http://schemas.microsoft.com/office/spreadsheetml/2009/9/main" objectType="CheckBox" fmlaLink="CONTROLS!$F$13" lockText="1" noThreeD="1"/>
</file>

<file path=xl/ctrlProps/ctrlProp71.xml><?xml version="1.0" encoding="utf-8"?>
<formControlPr xmlns="http://schemas.microsoft.com/office/spreadsheetml/2009/9/main" objectType="CheckBox" fmlaLink="CONTROLS!$F$8" lockText="1" noThreeD="1"/>
</file>

<file path=xl/ctrlProps/ctrlProp72.xml><?xml version="1.0" encoding="utf-8"?>
<formControlPr xmlns="http://schemas.microsoft.com/office/spreadsheetml/2009/9/main" objectType="CheckBox" fmlaLink="CONTROLS!$F$14" lockText="1" noThreeD="1"/>
</file>

<file path=xl/ctrlProps/ctrlProp73.xml><?xml version="1.0" encoding="utf-8"?>
<formControlPr xmlns="http://schemas.microsoft.com/office/spreadsheetml/2009/9/main" objectType="CheckBox" fmlaLink="CONTROLS!$F$9" lockText="1" noThreeD="1"/>
</file>

<file path=xl/ctrlProps/ctrlProp74.xml><?xml version="1.0" encoding="utf-8"?>
<formControlPr xmlns="http://schemas.microsoft.com/office/spreadsheetml/2009/9/main" objectType="CheckBox" fmlaLink="CONTROLS!$F$12" lockText="1" noThreeD="1"/>
</file>

<file path=xl/ctrlProps/ctrlProp75.xml><?xml version="1.0" encoding="utf-8"?>
<formControlPr xmlns="http://schemas.microsoft.com/office/spreadsheetml/2009/9/main" objectType="CheckBox" fmlaLink="CONTROLS!$F$10" lockText="1" noThreeD="1"/>
</file>

<file path=xl/ctrlProps/ctrlProp76.xml><?xml version="1.0" encoding="utf-8"?>
<formControlPr xmlns="http://schemas.microsoft.com/office/spreadsheetml/2009/9/main" objectType="CheckBox" fmlaLink="CONTROLS!$F$15" lockText="1" noThreeD="1"/>
</file>

<file path=xl/ctrlProps/ctrlProp77.xml><?xml version="1.0" encoding="utf-8"?>
<formControlPr xmlns="http://schemas.microsoft.com/office/spreadsheetml/2009/9/main" objectType="CheckBox" fmlaLink="CONTROLS!$F$19" lockText="1" noThreeD="1"/>
</file>

<file path=xl/ctrlProps/ctrlProp78.xml><?xml version="1.0" encoding="utf-8"?>
<formControlPr xmlns="http://schemas.microsoft.com/office/spreadsheetml/2009/9/main" objectType="CheckBox" fmlaLink="CONTROLS!$F$20" lockText="1" noThreeD="1"/>
</file>

<file path=xl/ctrlProps/ctrlProp79.xml><?xml version="1.0" encoding="utf-8"?>
<formControlPr xmlns="http://schemas.microsoft.com/office/spreadsheetml/2009/9/main" objectType="CheckBox" fmlaLink="CONTROLS!$F$21" lockText="1" noThreeD="1"/>
</file>

<file path=xl/ctrlProps/ctrlProp80.xml><?xml version="1.0" encoding="utf-8"?>
<formControlPr xmlns="http://schemas.microsoft.com/office/spreadsheetml/2009/9/main" objectType="CheckBox" fmlaLink="CONTROLS!$F$16" lockText="1" noThreeD="1"/>
</file>

<file path=xl/ctrlProps/ctrlProp81.xml><?xml version="1.0" encoding="utf-8"?>
<formControlPr xmlns="http://schemas.microsoft.com/office/spreadsheetml/2009/9/main" objectType="CheckBox" fmlaLink="CONTROLS!$F$17" lockText="1" noThreeD="1"/>
</file>

<file path=xl/ctrlProps/ctrlProp82.xml><?xml version="1.0" encoding="utf-8"?>
<formControlPr xmlns="http://schemas.microsoft.com/office/spreadsheetml/2009/9/main" objectType="CheckBox" fmlaLink="CONTROLS!$F$18" lockText="1" noThreeD="1"/>
</file>

<file path=xl/ctrlProps/ctrlProp83.xml><?xml version="1.0" encoding="utf-8"?>
<formControlPr xmlns="http://schemas.microsoft.com/office/spreadsheetml/2009/9/main" objectType="CheckBox" fmlaLink="CONTROLS!$F$22" lockText="1" noThreeD="1"/>
</file>

<file path=xl/ctrlProps/ctrlProp84.xml><?xml version="1.0" encoding="utf-8"?>
<formControlPr xmlns="http://schemas.microsoft.com/office/spreadsheetml/2009/9/main" objectType="CheckBox" fmlaLink="CONTROLS!$F$23" lockText="1" noThreeD="1"/>
</file>

<file path=xl/ctrlProps/ctrlProp85.xml><?xml version="1.0" encoding="utf-8"?>
<formControlPr xmlns="http://schemas.microsoft.com/office/spreadsheetml/2009/9/main" objectType="CheckBox" fmlaLink="CONTROLS!$F$24" lockText="1" noThreeD="1"/>
</file>

<file path=xl/ctrlProps/ctrlProp86.xml><?xml version="1.0" encoding="utf-8"?>
<formControlPr xmlns="http://schemas.microsoft.com/office/spreadsheetml/2009/9/main" objectType="CheckBox" fmlaLink="CONTROLS!$F$25" lockText="1" noThreeD="1"/>
</file>

<file path=xl/ctrlProps/ctrlProp87.xml><?xml version="1.0" encoding="utf-8"?>
<formControlPr xmlns="http://schemas.microsoft.com/office/spreadsheetml/2009/9/main" objectType="CheckBox" fmlaLink="CONTROLS!$F$26" lockText="1" noThreeD="1"/>
</file>

<file path=xl/ctrlProps/ctrlProp88.xml><?xml version="1.0" encoding="utf-8"?>
<formControlPr xmlns="http://schemas.microsoft.com/office/spreadsheetml/2009/9/main" objectType="CheckBox" fmlaLink="CONTROLS!$F$28" lockText="1" noThreeD="1"/>
</file>

<file path=xl/ctrlProps/ctrlProp89.xml><?xml version="1.0" encoding="utf-8"?>
<formControlPr xmlns="http://schemas.microsoft.com/office/spreadsheetml/2009/9/main" objectType="CheckBox" fmlaLink="CONTROLS!$F$27" lockText="1" noThreeD="1"/>
</file>

<file path=xl/ctrlProps/ctrlProp90.xml><?xml version="1.0" encoding="utf-8"?>
<formControlPr xmlns="http://schemas.microsoft.com/office/spreadsheetml/2009/9/main" objectType="CheckBox" fmlaLink="CONTROLS!$F$29" lockText="1" noThreeD="1"/>
</file>

<file path=xl/ctrlProps/ctrlProp91.xml><?xml version="1.0" encoding="utf-8"?>
<formControlPr xmlns="http://schemas.microsoft.com/office/spreadsheetml/2009/9/main" objectType="CheckBox" fmlaLink="CONTROLS!$F$30" lockText="1" noThreeD="1"/>
</file>

<file path=xl/ctrlProps/ctrlProp92.xml><?xml version="1.0" encoding="utf-8"?>
<formControlPr xmlns="http://schemas.microsoft.com/office/spreadsheetml/2009/9/main" objectType="CheckBox" fmlaLink="CONTROLS!$F$35" lockText="1" noThreeD="1"/>
</file>

<file path=xl/ctrlProps/ctrlProp93.xml><?xml version="1.0" encoding="utf-8"?>
<formControlPr xmlns="http://schemas.microsoft.com/office/spreadsheetml/2009/9/main" objectType="CheckBox" fmlaLink="CONTROLS!$F$36" lockText="1" noThreeD="1"/>
</file>

<file path=xl/ctrlProps/ctrlProp94.xml><?xml version="1.0" encoding="utf-8"?>
<formControlPr xmlns="http://schemas.microsoft.com/office/spreadsheetml/2009/9/main" objectType="CheckBox" fmlaLink="CONTROLS!$F$31" lockText="1" noThreeD="1"/>
</file>

<file path=xl/ctrlProps/ctrlProp95.xml><?xml version="1.0" encoding="utf-8"?>
<formControlPr xmlns="http://schemas.microsoft.com/office/spreadsheetml/2009/9/main" objectType="CheckBox" fmlaLink="CONTROLS!$F$32" lockText="1" noThreeD="1"/>
</file>

<file path=xl/ctrlProps/ctrlProp96.xml><?xml version="1.0" encoding="utf-8"?>
<formControlPr xmlns="http://schemas.microsoft.com/office/spreadsheetml/2009/9/main" objectType="CheckBox" fmlaLink="CONTROLS!$G$8" lockText="1" noThreeD="1"/>
</file>

<file path=xl/ctrlProps/ctrlProp97.xml><?xml version="1.0" encoding="utf-8"?>
<formControlPr xmlns="http://schemas.microsoft.com/office/spreadsheetml/2009/9/main" objectType="CheckBox" fmlaLink="CONTROLS!$G$9" lockText="1" noThreeD="1"/>
</file>

<file path=xl/ctrlProps/ctrlProp98.xml><?xml version="1.0" encoding="utf-8"?>
<formControlPr xmlns="http://schemas.microsoft.com/office/spreadsheetml/2009/9/main" objectType="CheckBox" fmlaLink="CONTROLS!$G$14" lockText="1" noThreeD="1"/>
</file>

<file path=xl/ctrlProps/ctrlProp99.xml><?xml version="1.0" encoding="utf-8"?>
<formControlPr xmlns="http://schemas.microsoft.com/office/spreadsheetml/2009/9/main" objectType="CheckBox" fmlaLink="CONTROLS!$G$13" lockText="1" noThreeD="1"/>
</file>

<file path=xl/ctrlProps/ctrlProp100.xml><?xml version="1.0" encoding="utf-8"?>
<formControlPr xmlns="http://schemas.microsoft.com/office/spreadsheetml/2009/9/main" objectType="CheckBox" fmlaLink="CONTROLS!$G$15" lockText="1" noThreeD="1"/>
</file>

<file path=xl/ctrlProps/ctrlProp101.xml><?xml version="1.0" encoding="utf-8"?>
<formControlPr xmlns="http://schemas.microsoft.com/office/spreadsheetml/2009/9/main" objectType="CheckBox" fmlaLink="CONTROLS!$G$16" lockText="1" noThreeD="1"/>
</file>

<file path=xl/ctrlProps/ctrlProp102.xml><?xml version="1.0" encoding="utf-8"?>
<formControlPr xmlns="http://schemas.microsoft.com/office/spreadsheetml/2009/9/main" objectType="CheckBox" fmlaLink="CONTROLS!$G$18" lockText="1" noThreeD="1"/>
</file>

<file path=xl/ctrlProps/ctrlProp103.xml><?xml version="1.0" encoding="utf-8"?>
<formControlPr xmlns="http://schemas.microsoft.com/office/spreadsheetml/2009/9/main" objectType="CheckBox" fmlaLink="CONTROLS!$G$17" lockText="1" noThreeD="1"/>
</file>

<file path=xl/ctrlProps/ctrlProp104.xml><?xml version="1.0" encoding="utf-8"?>
<formControlPr xmlns="http://schemas.microsoft.com/office/spreadsheetml/2009/9/main" objectType="CheckBox" fmlaLink="CONTROLS!$G$19" lockText="1" noThreeD="1"/>
</file>

<file path=xl/ctrlProps/ctrlProp105.xml><?xml version="1.0" encoding="utf-8"?>
<formControlPr xmlns="http://schemas.microsoft.com/office/spreadsheetml/2009/9/main" objectType="CheckBox" fmlaLink="CONTROLS!$G$25" lockText="1" noThreeD="1"/>
</file>

<file path=xl/ctrlProps/ctrlProp106.xml><?xml version="1.0" encoding="utf-8"?>
<formControlPr xmlns="http://schemas.microsoft.com/office/spreadsheetml/2009/9/main" objectType="CheckBox" fmlaLink="CONTROLS!$G$20" lockText="1" noThreeD="1"/>
</file>

<file path=xl/ctrlProps/ctrlProp107.xml><?xml version="1.0" encoding="utf-8"?>
<formControlPr xmlns="http://schemas.microsoft.com/office/spreadsheetml/2009/9/main" objectType="CheckBox" fmlaLink="CONTROLS!$G$21" lockText="1" noThreeD="1"/>
</file>

<file path=xl/ctrlProps/ctrlProp108.xml><?xml version="1.0" encoding="utf-8"?>
<formControlPr xmlns="http://schemas.microsoft.com/office/spreadsheetml/2009/9/main" objectType="CheckBox" fmlaLink="CONTROLS!$G$26" lockText="1" noThreeD="1"/>
</file>

<file path=xl/ctrlProps/ctrlProp109.xml><?xml version="1.0" encoding="utf-8"?>
<formControlPr xmlns="http://schemas.microsoft.com/office/spreadsheetml/2009/9/main" objectType="CheckBox" fmlaLink="CONTROLS!$G$27" lockText="1" noThreeD="1"/>
</file>

<file path=xl/ctrlProps/ctrlProp110.xml><?xml version="1.0" encoding="utf-8"?>
<formControlPr xmlns="http://schemas.microsoft.com/office/spreadsheetml/2009/9/main" objectType="CheckBox" fmlaLink="CONTROLS!$G$22" lockText="1" noThreeD="1"/>
</file>

<file path=xl/ctrlProps/ctrlProp111.xml><?xml version="1.0" encoding="utf-8"?>
<formControlPr xmlns="http://schemas.microsoft.com/office/spreadsheetml/2009/9/main" objectType="CheckBox" fmlaLink="CONTROLS!$G$28" lockText="1" noThreeD="1"/>
</file>

<file path=xl/ctrlProps/ctrlProp112.xml><?xml version="1.0" encoding="utf-8"?>
<formControlPr xmlns="http://schemas.microsoft.com/office/spreadsheetml/2009/9/main" objectType="CheckBox" fmlaLink="CONTROLS!$G$23" lockText="1" noThreeD="1"/>
</file>

<file path=xl/ctrlProps/ctrlProp113.xml><?xml version="1.0" encoding="utf-8"?>
<formControlPr xmlns="http://schemas.microsoft.com/office/spreadsheetml/2009/9/main" objectType="CheckBox" fmlaLink="CONTROLS!$G$24" lockText="1" noThreeD="1"/>
</file>

<file path=xl/ctrlProps/ctrlProp114.xml><?xml version="1.0" encoding="utf-8"?>
<formControlPr xmlns="http://schemas.microsoft.com/office/spreadsheetml/2009/9/main" objectType="CheckBox" fmlaLink="CONTROLS!$G$29" lockText="1" noThreeD="1"/>
</file>

<file path=xl/ctrlProps/ctrlProp115.xml><?xml version="1.0" encoding="utf-8"?>
<formControlPr xmlns="http://schemas.microsoft.com/office/spreadsheetml/2009/9/main" objectType="CheckBox" fmlaLink="CONTROLS!$G$30" lockText="1" noThreeD="1"/>
</file>

<file path=xl/ctrlProps/ctrlProp116.xml><?xml version="1.0" encoding="utf-8"?>
<formControlPr xmlns="http://schemas.microsoft.com/office/spreadsheetml/2009/9/main" objectType="CheckBox" fmlaLink="CONTROLS!$G$31" lockText="1" noThreeD="1"/>
</file>

<file path=xl/ctrlProps/ctrlProp117.xml><?xml version="1.0" encoding="utf-8"?>
<formControlPr xmlns="http://schemas.microsoft.com/office/spreadsheetml/2009/9/main" objectType="CheckBox" fmlaLink="CONTROLS!$G$32" lockText="1" noThreeD="1"/>
</file>

<file path=xl/ctrlProps/ctrlProp118.xml><?xml version="1.0" encoding="utf-8"?>
<formControlPr xmlns="http://schemas.microsoft.com/office/spreadsheetml/2009/9/main" objectType="CheckBox" fmlaLink="CONTROLS!$G$33" lockText="1" noThreeD="1"/>
</file>

<file path=xl/ctrlProps/ctrlProp119.xml><?xml version="1.0" encoding="utf-8"?>
<formControlPr xmlns="http://schemas.microsoft.com/office/spreadsheetml/2009/9/main" objectType="CheckBox" fmlaLink="CONTROLS!$G$34" lockText="1" noThreeD="1"/>
</file>

<file path=xl/ctrlProps/ctrlProp120.xml><?xml version="1.0" encoding="utf-8"?>
<formControlPr xmlns="http://schemas.microsoft.com/office/spreadsheetml/2009/9/main" objectType="CheckBox" fmlaLink="CONTROLS!$G$35" lockText="1" noThreeD="1"/>
</file>

<file path=xl/ctrlProps/ctrlProp121.xml><?xml version="1.0" encoding="utf-8"?>
<formControlPr xmlns="http://schemas.microsoft.com/office/spreadsheetml/2009/9/main" objectType="CheckBox" fmlaLink="CONTROLS!$G$36" lockText="1" noThreeD="1"/>
</file>

<file path=xl/ctrlProps/ctrlProp122.xml><?xml version="1.0" encoding="utf-8"?>
<formControlPr xmlns="http://schemas.microsoft.com/office/spreadsheetml/2009/9/main" objectType="CheckBox" fmlaLink="CONTROLS!$G$37" lockText="1" noThreeD="1"/>
</file>

<file path=xl/ctrlProps/ctrlProp123.xml><?xml version="1.0" encoding="utf-8"?>
<formControlPr xmlns="http://schemas.microsoft.com/office/spreadsheetml/2009/9/main" objectType="CheckBox" fmlaLink="CONTROLS!$G$38" lockText="1" noThreeD="1"/>
</file>

<file path=xl/ctrlProps/ctrlProp124.xml><?xml version="1.0" encoding="utf-8"?>
<formControlPr xmlns="http://schemas.microsoft.com/office/spreadsheetml/2009/9/main" objectType="CheckBox" fmlaLink="CONTROLS!$G$40" lockText="1" noThreeD="1"/>
</file>

<file path=xl/ctrlProps/ctrlProp125.xml><?xml version="1.0" encoding="utf-8"?>
<formControlPr xmlns="http://schemas.microsoft.com/office/spreadsheetml/2009/9/main" objectType="CheckBox" fmlaLink="CONTROLS!$G$39" lockText="1" noThreeD="1"/>
</file>

<file path=xl/ctrlProps/ctrlProp126.xml><?xml version="1.0" encoding="utf-8"?>
<formControlPr xmlns="http://schemas.microsoft.com/office/spreadsheetml/2009/9/main" objectType="CheckBox" fmlaLink="CONTROLS!$G$41" lockText="1" noThreeD="1"/>
</file>

<file path=xl/ctrlProps/ctrlProp127.xml><?xml version="1.0" encoding="utf-8"?>
<formControlPr xmlns="http://schemas.microsoft.com/office/spreadsheetml/2009/9/main" objectType="CheckBox" fmlaLink="CONTROLS!$G$42" lockText="1" noThreeD="1"/>
</file>

<file path=xl/ctrlProps/ctrlProp128.xml><?xml version="1.0" encoding="utf-8"?>
<formControlPr xmlns="http://schemas.microsoft.com/office/spreadsheetml/2009/9/main" objectType="CheckBox" fmlaLink="CONTROLS!$G$45" lockText="1" noThreeD="1"/>
</file>

<file path=xl/ctrlProps/ctrlProp129.xml><?xml version="1.0" encoding="utf-8"?>
<formControlPr xmlns="http://schemas.microsoft.com/office/spreadsheetml/2009/9/main" objectType="CheckBox" fmlaLink="CONTROLS!$G$44" lockText="1" noThreeD="1"/>
</file>

<file path=xl/ctrlProps/ctrlProp130.xml><?xml version="1.0" encoding="utf-8"?>
<formControlPr xmlns="http://schemas.microsoft.com/office/spreadsheetml/2009/9/main" objectType="CheckBox" fmlaLink="CONTROLS!$G$43" lockText="1" noThreeD="1"/>
</file>

<file path=xl/ctrlProps/ctrlProp131.xml><?xml version="1.0" encoding="utf-8"?>
<formControlPr xmlns="http://schemas.microsoft.com/office/spreadsheetml/2009/9/main" objectType="CheckBox" fmlaLink="CONTROLS!$G$46" lockText="1" noThreeD="1"/>
</file>

<file path=xl/ctrlProps/ctrlProp132.xml><?xml version="1.0" encoding="utf-8"?>
<formControlPr xmlns="http://schemas.microsoft.com/office/spreadsheetml/2009/9/main" objectType="CheckBox" fmlaLink="CONTROLS!$G$47" lockText="1" noThreeD="1"/>
</file>

<file path=xl/ctrlProps/ctrlProp133.xml><?xml version="1.0" encoding="utf-8"?>
<formControlPr xmlns="http://schemas.microsoft.com/office/spreadsheetml/2009/9/main" objectType="CheckBox" fmlaLink="CONTROLS!$G$48" lockText="1" noThreeD="1"/>
</file>

<file path=xl/ctrlProps/ctrlProp134.xml><?xml version="1.0" encoding="utf-8"?>
<formControlPr xmlns="http://schemas.microsoft.com/office/spreadsheetml/2009/9/main" objectType="CheckBox" fmlaLink="CONTROLS!$G$49" lockText="1" noThreeD="1"/>
</file>

<file path=xl/ctrlProps/ctrlProp135.xml><?xml version="1.0" encoding="utf-8"?>
<formControlPr xmlns="http://schemas.microsoft.com/office/spreadsheetml/2009/9/main" objectType="CheckBox" fmlaLink="CONTROLS!$G$52" lockText="1" noThreeD="1"/>
</file>

<file path=xl/ctrlProps/ctrlProp136.xml><?xml version="1.0" encoding="utf-8"?>
<formControlPr xmlns="http://schemas.microsoft.com/office/spreadsheetml/2009/9/main" objectType="CheckBox" fmlaLink="CONTROLS!$G$50" lockText="1" noThreeD="1"/>
</file>

<file path=xl/ctrlProps/ctrlProp137.xml><?xml version="1.0" encoding="utf-8"?>
<formControlPr xmlns="http://schemas.microsoft.com/office/spreadsheetml/2009/9/main" objectType="CheckBox" fmlaLink="CONTROLS!$G$53" lockText="1" noThreeD="1"/>
</file>

<file path=xl/ctrlProps/ctrlProp138.xml><?xml version="1.0" encoding="utf-8"?>
<formControlPr xmlns="http://schemas.microsoft.com/office/spreadsheetml/2009/9/main" objectType="CheckBox" fmlaLink="CONTROLS!$G$51" lockText="1" noThreeD="1"/>
</file>

<file path=xl/ctrlProps/ctrlProp139.xml><?xml version="1.0" encoding="utf-8"?>
<formControlPr xmlns="http://schemas.microsoft.com/office/spreadsheetml/2009/9/main" objectType="CheckBox" fmlaLink="CONTROLS!$G$54" lockText="1" noThreeD="1"/>
</file>

<file path=xl/ctrlProps/ctrlProp140.xml><?xml version="1.0" encoding="utf-8"?>
<formControlPr xmlns="http://schemas.microsoft.com/office/spreadsheetml/2009/9/main" objectType="CheckBox" fmlaLink="CONTROLS!$H$2" lockText="1" noThreeD="1"/>
</file>

<file path=xl/ctrlProps/ctrlProp141.xml><?xml version="1.0" encoding="utf-8"?>
<formControlPr xmlns="http://schemas.microsoft.com/office/spreadsheetml/2009/9/main" objectType="CheckBox" fmlaLink="CONTROLS!$H$4" lockText="1" noThreeD="1"/>
</file>

<file path=xl/ctrlProps/ctrlProp142.xml><?xml version="1.0" encoding="utf-8"?>
<formControlPr xmlns="http://schemas.microsoft.com/office/spreadsheetml/2009/9/main" objectType="CheckBox" fmlaLink="CONTROLS!$H$3" lockText="1" noThreeD="1"/>
</file>

<file path=xl/ctrlProps/ctrlProp143.xml><?xml version="1.0" encoding="utf-8"?>
<formControlPr xmlns="http://schemas.microsoft.com/office/spreadsheetml/2009/9/main" objectType="CheckBox" fmlaLink="CONTROLS!$H$6" lockText="1" noThreeD="1"/>
</file>

<file path=xl/ctrlProps/ctrlProp144.xml><?xml version="1.0" encoding="utf-8"?>
<formControlPr xmlns="http://schemas.microsoft.com/office/spreadsheetml/2009/9/main" objectType="CheckBox" fmlaLink="CONTROLS!$H$7" lockText="1" noThreeD="1"/>
</file>

<file path=xl/ctrlProps/ctrlProp145.xml><?xml version="1.0" encoding="utf-8"?>
<formControlPr xmlns="http://schemas.microsoft.com/office/spreadsheetml/2009/9/main" objectType="CheckBox" fmlaLink="CONTROLS!$H$5" lockText="1" noThreeD="1"/>
</file>

<file path=xl/ctrlProps/ctrlProp146.xml><?xml version="1.0" encoding="utf-8"?>
<formControlPr xmlns="http://schemas.microsoft.com/office/spreadsheetml/2009/9/main" objectType="CheckBox" fmlaLink="CONTROLS!$H$9" lockText="1" noThreeD="1"/>
</file>

<file path=xl/ctrlProps/ctrlProp147.xml><?xml version="1.0" encoding="utf-8"?>
<formControlPr xmlns="http://schemas.microsoft.com/office/spreadsheetml/2009/9/main" objectType="CheckBox" fmlaLink="CONTROLS!$H$10" lockText="1" noThreeD="1"/>
</file>

<file path=xl/ctrlProps/ctrlProp148.xml><?xml version="1.0" encoding="utf-8"?>
<formControlPr xmlns="http://schemas.microsoft.com/office/spreadsheetml/2009/9/main" objectType="CheckBox" fmlaLink="CONTROLS!$H$8" lockText="1" noThreeD="1"/>
</file>

<file path=xl/ctrlProps/ctrlProp149.xml><?xml version="1.0" encoding="utf-8"?>
<formControlPr xmlns="http://schemas.microsoft.com/office/spreadsheetml/2009/9/main" objectType="CheckBox" fmlaLink="CONTROLS!$H$11" lockText="1" noThreeD="1"/>
</file>

<file path=xl/ctrlProps/ctrlProp150.xml><?xml version="1.0" encoding="utf-8"?>
<formControlPr xmlns="http://schemas.microsoft.com/office/spreadsheetml/2009/9/main" objectType="CheckBox" fmlaLink="CONTROLS!$H$12" lockText="1" noThreeD="1"/>
</file>

<file path=xl/ctrlProps/ctrlProp151.xml><?xml version="1.0" encoding="utf-8"?>
<formControlPr xmlns="http://schemas.microsoft.com/office/spreadsheetml/2009/9/main" objectType="CheckBox" fmlaLink="CONTROLS!$H$14" lockText="1" noThreeD="1"/>
</file>

<file path=xl/ctrlProps/ctrlProp152.xml><?xml version="1.0" encoding="utf-8"?>
<formControlPr xmlns="http://schemas.microsoft.com/office/spreadsheetml/2009/9/main" objectType="CheckBox" fmlaLink="CONTROLS!$H$15" lockText="1" noThreeD="1"/>
</file>

<file path=xl/ctrlProps/ctrlProp153.xml><?xml version="1.0" encoding="utf-8"?>
<formControlPr xmlns="http://schemas.microsoft.com/office/spreadsheetml/2009/9/main" objectType="CheckBox" fmlaLink="CONTROLS!$H$16" lockText="1" noThreeD="1"/>
</file>

<file path=xl/ctrlProps/ctrlProp154.xml><?xml version="1.0" encoding="utf-8"?>
<formControlPr xmlns="http://schemas.microsoft.com/office/spreadsheetml/2009/9/main" objectType="CheckBox" fmlaLink="CONTROLS!$H$17" lockText="1" noThreeD="1"/>
</file>

<file path=xl/ctrlProps/ctrlProp155.xml><?xml version="1.0" encoding="utf-8"?>
<formControlPr xmlns="http://schemas.microsoft.com/office/spreadsheetml/2009/9/main" objectType="CheckBox" fmlaLink="CONTROLS!$H$18" lockText="1" noThreeD="1"/>
</file>

<file path=xl/ctrlProps/ctrlProp156.xml><?xml version="1.0" encoding="utf-8"?>
<formControlPr xmlns="http://schemas.microsoft.com/office/spreadsheetml/2009/9/main" objectType="CheckBox" fmlaLink="CONTROLS!$H$19" lockText="1" noThreeD="1"/>
</file>

<file path=xl/ctrlProps/ctrlProp157.xml><?xml version="1.0" encoding="utf-8"?>
<formControlPr xmlns="http://schemas.microsoft.com/office/spreadsheetml/2009/9/main" objectType="CheckBox" fmlaLink="CONTROLS!$H$20" lockText="1" noThreeD="1"/>
</file>

<file path=xl/ctrlProps/ctrlProp158.xml><?xml version="1.0" encoding="utf-8"?>
<formControlPr xmlns="http://schemas.microsoft.com/office/spreadsheetml/2009/9/main" objectType="CheckBox" fmlaLink="CONTROLS!$H$21" lockText="1" noThreeD="1"/>
</file>

<file path=xl/ctrlProps/ctrlProp159.xml><?xml version="1.0" encoding="utf-8"?>
<formControlPr xmlns="http://schemas.microsoft.com/office/spreadsheetml/2009/9/main" objectType="CheckBox" fmlaLink="CONTROLS!$H$22" lockText="1" noThreeD="1"/>
</file>

<file path=xl/ctrlProps/ctrlProp160.xml><?xml version="1.0" encoding="utf-8"?>
<formControlPr xmlns="http://schemas.microsoft.com/office/spreadsheetml/2009/9/main" objectType="CheckBox" fmlaLink="CONTROLS!$H$23" lockText="1" noThreeD="1"/>
</file>

<file path=xl/ctrlProps/ctrlProp161.xml><?xml version="1.0" encoding="utf-8"?>
<formControlPr xmlns="http://schemas.microsoft.com/office/spreadsheetml/2009/9/main" objectType="CheckBox" fmlaLink="CONTROLS!$H$24" lockText="1" noThreeD="1"/>
</file>

<file path=xl/ctrlProps/ctrlProp162.xml><?xml version="1.0" encoding="utf-8"?>
<formControlPr xmlns="http://schemas.microsoft.com/office/spreadsheetml/2009/9/main" objectType="CheckBox" fmlaLink="CONTROLS!$H$25" lockText="1" noThreeD="1"/>
</file>

<file path=xl/ctrlProps/ctrlProp163.xml><?xml version="1.0" encoding="utf-8"?>
<formControlPr xmlns="http://schemas.microsoft.com/office/spreadsheetml/2009/9/main" objectType="CheckBox" fmlaLink="CONTROLS!$H$26" lockText="1" noThreeD="1"/>
</file>

<file path=xl/ctrlProps/ctrlProp164.xml><?xml version="1.0" encoding="utf-8"?>
<formControlPr xmlns="http://schemas.microsoft.com/office/spreadsheetml/2009/9/main" objectType="CheckBox" fmlaLink="CONTROLS!$H$27" lockText="1" noThreeD="1"/>
</file>

<file path=xl/ctrlProps/ctrlProp165.xml><?xml version="1.0" encoding="utf-8"?>
<formControlPr xmlns="http://schemas.microsoft.com/office/spreadsheetml/2009/9/main" objectType="CheckBox" fmlaLink="CONTROLS!$H$28" lockText="1" noThreeD="1"/>
</file>

<file path=xl/ctrlProps/ctrlProp166.xml><?xml version="1.0" encoding="utf-8"?>
<formControlPr xmlns="http://schemas.microsoft.com/office/spreadsheetml/2009/9/main" objectType="CheckBox" fmlaLink="CONTROLS!$H$29" lockText="1" noThreeD="1"/>
</file>

<file path=xl/ctrlProps/ctrlProp167.xml><?xml version="1.0" encoding="utf-8"?>
<formControlPr xmlns="http://schemas.microsoft.com/office/spreadsheetml/2009/9/main" objectType="CheckBox" fmlaLink="CONTROLS!$H$30" lockText="1" noThreeD="1"/>
</file>

<file path=xl/ctrlProps/ctrlProp168.xml><?xml version="1.0" encoding="utf-8"?>
<formControlPr xmlns="http://schemas.microsoft.com/office/spreadsheetml/2009/9/main" objectType="CheckBox" fmlaLink="CONTROLS!$H$31" lockText="1" noThreeD="1"/>
</file>

<file path=xl/ctrlProps/ctrlProp169.xml><?xml version="1.0" encoding="utf-8"?>
<formControlPr xmlns="http://schemas.microsoft.com/office/spreadsheetml/2009/9/main" objectType="CheckBox" fmlaLink="CONTROLS!$H$32" lockText="1" noThreeD="1"/>
</file>

<file path=xl/ctrlProps/ctrlProp170.xml><?xml version="1.0" encoding="utf-8"?>
<formControlPr xmlns="http://schemas.microsoft.com/office/spreadsheetml/2009/9/main" objectType="CheckBox" fmlaLink="CONTROLS!$H$33" lockText="1" noThreeD="1"/>
</file>

<file path=xl/ctrlProps/ctrlProp171.xml><?xml version="1.0" encoding="utf-8"?>
<formControlPr xmlns="http://schemas.microsoft.com/office/spreadsheetml/2009/9/main" objectType="CheckBox" fmlaLink="CONTROLS!$H$34" lockText="1" noThreeD="1"/>
</file>

<file path=xl/ctrlProps/ctrlProp172.xml><?xml version="1.0" encoding="utf-8"?>
<formControlPr xmlns="http://schemas.microsoft.com/office/spreadsheetml/2009/9/main" objectType="CheckBox" fmlaLink="CONTROLS!$H$35" lockText="1" noThreeD="1"/>
</file>

<file path=xl/ctrlProps/ctrlProp173.xml><?xml version="1.0" encoding="utf-8"?>
<formControlPr xmlns="http://schemas.microsoft.com/office/spreadsheetml/2009/9/main" objectType="CheckBox" fmlaLink="CONTROLS!$H$36" lockText="1" noThreeD="1"/>
</file>

<file path=xl/ctrlProps/ctrlProp174.xml><?xml version="1.0" encoding="utf-8"?>
<formControlPr xmlns="http://schemas.microsoft.com/office/spreadsheetml/2009/9/main" objectType="CheckBox" fmlaLink="CONTROLS!$H$37" lockText="1" noThreeD="1"/>
</file>

<file path=xl/ctrlProps/ctrlProp175.xml><?xml version="1.0" encoding="utf-8"?>
<formControlPr xmlns="http://schemas.microsoft.com/office/spreadsheetml/2009/9/main" objectType="CheckBox" fmlaLink="CONTROLS!$H$13" lockText="1" noThreeD="1"/>
</file>

<file path=xl/ctrlProps/ctrlProp176.xml><?xml version="1.0" encoding="utf-8"?>
<formControlPr xmlns="http://schemas.microsoft.com/office/spreadsheetml/2009/9/main" objectType="CheckBox" fmlaLink="CONTROLS!$H$40" lockText="1" noThreeD="1"/>
</file>

<file path=xl/ctrlProps/ctrlProp177.xml><?xml version="1.0" encoding="utf-8"?>
<formControlPr xmlns="http://schemas.microsoft.com/office/spreadsheetml/2009/9/main" objectType="CheckBox" fmlaLink="CONTROLS!$H$41" lockText="1" noThreeD="1"/>
</file>

<file path=xl/ctrlProps/ctrlProp178.xml><?xml version="1.0" encoding="utf-8"?>
<formControlPr xmlns="http://schemas.microsoft.com/office/spreadsheetml/2009/9/main" objectType="CheckBox" fmlaLink="CONTROLS!$I$2" lockText="1" noThreeD="1"/>
</file>

<file path=xl/ctrlProps/ctrlProp179.xml><?xml version="1.0" encoding="utf-8"?>
<formControlPr xmlns="http://schemas.microsoft.com/office/spreadsheetml/2009/9/main" objectType="CheckBox" fmlaLink="CONTROLS!$I$3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66675</xdr:rowOff>
        </xdr:from>
        <xdr:to>
          <xdr:col>1</xdr:col>
          <xdr:colOff>409575</xdr:colOff>
          <xdr:row>12</xdr:row>
          <xdr:rowOff>257175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352425</xdr:colOff>
          <xdr:row>13</xdr:row>
          <xdr:rowOff>257175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47625</xdr:rowOff>
        </xdr:from>
        <xdr:to>
          <xdr:col>8</xdr:col>
          <xdr:colOff>333375</xdr:colOff>
          <xdr:row>12</xdr:row>
          <xdr:rowOff>266700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13</xdr:row>
          <xdr:rowOff>47625</xdr:rowOff>
        </xdr:from>
        <xdr:to>
          <xdr:col>8</xdr:col>
          <xdr:colOff>295275</xdr:colOff>
          <xdr:row>13</xdr:row>
          <xdr:rowOff>276225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12</xdr:row>
          <xdr:rowOff>47625</xdr:rowOff>
        </xdr:from>
        <xdr:to>
          <xdr:col>13</xdr:col>
          <xdr:colOff>333375</xdr:colOff>
          <xdr:row>12</xdr:row>
          <xdr:rowOff>295275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13</xdr:row>
          <xdr:rowOff>47625</xdr:rowOff>
        </xdr:from>
        <xdr:to>
          <xdr:col>13</xdr:col>
          <xdr:colOff>333375</xdr:colOff>
          <xdr:row>13</xdr:row>
          <xdr:rowOff>266700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104775</xdr:colOff>
          <xdr:row>12</xdr:row>
          <xdr:rowOff>47625</xdr:rowOff>
        </xdr:from>
        <xdr:to>
          <xdr:col>18</xdr:col>
          <xdr:colOff>304800</xdr:colOff>
          <xdr:row>12</xdr:row>
          <xdr:rowOff>266700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104775</xdr:colOff>
          <xdr:row>13</xdr:row>
          <xdr:rowOff>47625</xdr:rowOff>
        </xdr:from>
        <xdr:to>
          <xdr:col>18</xdr:col>
          <xdr:colOff>333375</xdr:colOff>
          <xdr:row>13</xdr:row>
          <xdr:rowOff>276225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9525</xdr:rowOff>
        </xdr:from>
        <xdr:to>
          <xdr:col>1</xdr:col>
          <xdr:colOff>428625</xdr:colOff>
          <xdr:row>19</xdr:row>
          <xdr:rowOff>238125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228600</xdr:rowOff>
        </xdr:from>
        <xdr:to>
          <xdr:col>1</xdr:col>
          <xdr:colOff>428625</xdr:colOff>
          <xdr:row>21</xdr:row>
          <xdr:rowOff>28575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238125</xdr:rowOff>
        </xdr:from>
        <xdr:to>
          <xdr:col>1</xdr:col>
          <xdr:colOff>428625</xdr:colOff>
          <xdr:row>22</xdr:row>
          <xdr:rowOff>38100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238125</xdr:rowOff>
        </xdr:from>
        <xdr:to>
          <xdr:col>1</xdr:col>
          <xdr:colOff>428625</xdr:colOff>
          <xdr:row>24</xdr:row>
          <xdr:rowOff>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18</xdr:row>
          <xdr:rowOff>266700</xdr:rowOff>
        </xdr:from>
        <xdr:to>
          <xdr:col>13</xdr:col>
          <xdr:colOff>0</xdr:colOff>
          <xdr:row>20</xdr:row>
          <xdr:rowOff>28575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19</xdr:row>
          <xdr:rowOff>238125</xdr:rowOff>
        </xdr:from>
        <xdr:to>
          <xdr:col>13</xdr:col>
          <xdr:colOff>0</xdr:colOff>
          <xdr:row>21</xdr:row>
          <xdr:rowOff>28575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20</xdr:row>
          <xdr:rowOff>238125</xdr:rowOff>
        </xdr:from>
        <xdr:to>
          <xdr:col>13</xdr:col>
          <xdr:colOff>0</xdr:colOff>
          <xdr:row>22</xdr:row>
          <xdr:rowOff>28575</xdr:rowOff>
        </xdr:to>
        <xdr:sp macro="" textlink="">
          <xdr:nvSpPr>
            <xdr:cNvPr id="2068" name="Check Box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21</xdr:row>
          <xdr:rowOff>238125</xdr:rowOff>
        </xdr:from>
        <xdr:to>
          <xdr:col>13</xdr:col>
          <xdr:colOff>0</xdr:colOff>
          <xdr:row>23</xdr:row>
          <xdr:rowOff>28575</xdr:rowOff>
        </xdr:to>
        <xdr:sp macro="" textlink="">
          <xdr:nvSpPr>
            <xdr:cNvPr id="2069" name="Check Box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25</xdr:row>
          <xdr:rowOff>295275</xdr:rowOff>
        </xdr:from>
        <xdr:to>
          <xdr:col>1</xdr:col>
          <xdr:colOff>419100</xdr:colOff>
          <xdr:row>27</xdr:row>
          <xdr:rowOff>28575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26</xdr:row>
          <xdr:rowOff>9525</xdr:rowOff>
        </xdr:from>
        <xdr:to>
          <xdr:col>5</xdr:col>
          <xdr:colOff>371475</xdr:colOff>
          <xdr:row>27</xdr:row>
          <xdr:rowOff>0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25</xdr:row>
          <xdr:rowOff>295275</xdr:rowOff>
        </xdr:from>
        <xdr:to>
          <xdr:col>9</xdr:col>
          <xdr:colOff>0</xdr:colOff>
          <xdr:row>27</xdr:row>
          <xdr:rowOff>28575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25</xdr:row>
          <xdr:rowOff>295275</xdr:rowOff>
        </xdr:from>
        <xdr:to>
          <xdr:col>15</xdr:col>
          <xdr:colOff>0</xdr:colOff>
          <xdr:row>27</xdr:row>
          <xdr:rowOff>28575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25</xdr:row>
          <xdr:rowOff>295275</xdr:rowOff>
        </xdr:from>
        <xdr:to>
          <xdr:col>19</xdr:col>
          <xdr:colOff>304800</xdr:colOff>
          <xdr:row>27</xdr:row>
          <xdr:rowOff>28575</xdr:rowOff>
        </xdr:to>
        <xdr:sp macro="" textlink="">
          <xdr:nvSpPr>
            <xdr:cNvPr id="2074" name="Check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200025</xdr:rowOff>
        </xdr:from>
        <xdr:to>
          <xdr:col>1</xdr:col>
          <xdr:colOff>428625</xdr:colOff>
          <xdr:row>28</xdr:row>
          <xdr:rowOff>28575</xdr:rowOff>
        </xdr:to>
        <xdr:sp macro="" textlink="">
          <xdr:nvSpPr>
            <xdr:cNvPr id="2075" name="Check Box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41</xdr:row>
          <xdr:rowOff>266700</xdr:rowOff>
        </xdr:from>
        <xdr:to>
          <xdr:col>1</xdr:col>
          <xdr:colOff>409575</xdr:colOff>
          <xdr:row>43</xdr:row>
          <xdr:rowOff>28575</xdr:rowOff>
        </xdr:to>
        <xdr:sp macro="" textlink="">
          <xdr:nvSpPr>
            <xdr:cNvPr id="2076" name="Check Box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41</xdr:row>
          <xdr:rowOff>276225</xdr:rowOff>
        </xdr:from>
        <xdr:to>
          <xdr:col>6</xdr:col>
          <xdr:colOff>9525</xdr:colOff>
          <xdr:row>43</xdr:row>
          <xdr:rowOff>38100</xdr:rowOff>
        </xdr:to>
        <xdr:sp macro="" textlink="">
          <xdr:nvSpPr>
            <xdr:cNvPr id="2077" name="Check Box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48</xdr:row>
          <xdr:rowOff>266700</xdr:rowOff>
        </xdr:from>
        <xdr:to>
          <xdr:col>1</xdr:col>
          <xdr:colOff>447675</xdr:colOff>
          <xdr:row>50</xdr:row>
          <xdr:rowOff>28575</xdr:rowOff>
        </xdr:to>
        <xdr:sp macro="" textlink="">
          <xdr:nvSpPr>
            <xdr:cNvPr id="2078" name="Check Box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48</xdr:row>
          <xdr:rowOff>266700</xdr:rowOff>
        </xdr:from>
        <xdr:to>
          <xdr:col>5</xdr:col>
          <xdr:colOff>9525</xdr:colOff>
          <xdr:row>50</xdr:row>
          <xdr:rowOff>28575</xdr:rowOff>
        </xdr:to>
        <xdr:sp macro="" textlink="">
          <xdr:nvSpPr>
            <xdr:cNvPr id="2079" name="Check Box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48</xdr:row>
          <xdr:rowOff>276225</xdr:rowOff>
        </xdr:from>
        <xdr:to>
          <xdr:col>7</xdr:col>
          <xdr:colOff>9525</xdr:colOff>
          <xdr:row>50</xdr:row>
          <xdr:rowOff>28575</xdr:rowOff>
        </xdr:to>
        <xdr:sp macro="" textlink="">
          <xdr:nvSpPr>
            <xdr:cNvPr id="2080" name="Check Box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46509</xdr:colOff>
      <xdr:row>0</xdr:row>
      <xdr:rowOff>96048</xdr:rowOff>
    </xdr:from>
    <xdr:to>
      <xdr:col>2</xdr:col>
      <xdr:colOff>298277</xdr:colOff>
      <xdr:row>2</xdr:row>
      <xdr:rowOff>376518</xdr:rowOff>
    </xdr:to>
    <xdr:pic macro="[0]!user">
      <xdr:nvPicPr>
        <xdr:cNvPr id="34" name="Picture 33" descr="New Orion Logo w-drop shadow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2210"/>
        <a:stretch/>
      </xdr:blipFill>
      <xdr:spPr bwMode="auto">
        <a:xfrm>
          <a:off x="46509" y="96048"/>
          <a:ext cx="1058592" cy="621129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286871</xdr:colOff>
      <xdr:row>0</xdr:row>
      <xdr:rowOff>0</xdr:rowOff>
    </xdr:from>
    <xdr:to>
      <xdr:col>23</xdr:col>
      <xdr:colOff>568036</xdr:colOff>
      <xdr:row>2</xdr:row>
      <xdr:rowOff>493059</xdr:rowOff>
    </xdr:to>
    <xdr:sp macro="" textlink="">
      <xdr:nvSpPr>
        <xdr:cNvPr id="35" name="Text Box 3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>
          <a:spLocks noChangeArrowheads="1"/>
        </xdr:cNvSpPr>
      </xdr:nvSpPr>
      <xdr:spPr bwMode="auto">
        <a:xfrm>
          <a:off x="5683624" y="0"/>
          <a:ext cx="4198741" cy="833718"/>
        </a:xfrm>
        <a:prstGeom prst="rect">
          <a:avLst/>
        </a:prstGeom>
        <a:noFill/>
        <a:ln>
          <a:noFill/>
        </a:ln>
      </xdr:spPr>
      <xdr:txBody>
        <a:bodyPr rot="0" vert="horz" wrap="square" lIns="91440" tIns="45720" rIns="91440" bIns="45720" anchor="t" anchorCtr="0" upright="1">
          <a:noAutofit/>
        </a:bodyPr>
        <a:lstStyle/>
        <a:p>
          <a:pPr marL="0" marR="0" algn="just">
            <a:lnSpc>
              <a:spcPct val="107000"/>
            </a:lnSpc>
            <a:spcBef>
              <a:spcPts val="0"/>
            </a:spcBef>
            <a:spcAft>
              <a:spcPts val="800"/>
            </a:spcAft>
          </a:pPr>
          <a:r>
            <a:rPr lang="en-US" sz="120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Please complete and save this form for your personal records and email a copy to </a:t>
          </a:r>
          <a:r>
            <a:rPr lang="en-US" sz="1200" u="sng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marketing@orion4value.com</a:t>
          </a:r>
          <a:r>
            <a:rPr lang="en-US" sz="120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, or alternatively fax this form to:  303-456-6681.  If you have any questions, please call 303-645-4017</a:t>
          </a:r>
          <a:r>
            <a:rPr lang="en-US" sz="105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.</a:t>
          </a:r>
          <a:endParaRPr lang="en-US" sz="1600">
            <a:effectLst/>
            <a:latin typeface="Times New Roman" panose="02020603050405020304" pitchFamily="18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107580</xdr:colOff>
      <xdr:row>12</xdr:row>
      <xdr:rowOff>35860</xdr:rowOff>
    </xdr:from>
    <xdr:to>
      <xdr:col>1</xdr:col>
      <xdr:colOff>336180</xdr:colOff>
      <xdr:row>12</xdr:row>
      <xdr:rowOff>264460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439274" y="355898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107580</xdr:colOff>
      <xdr:row>13</xdr:row>
      <xdr:rowOff>35860</xdr:rowOff>
    </xdr:from>
    <xdr:to>
      <xdr:col>1</xdr:col>
      <xdr:colOff>336180</xdr:colOff>
      <xdr:row>13</xdr:row>
      <xdr:rowOff>264460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439274" y="3890684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80683</xdr:colOff>
      <xdr:row>12</xdr:row>
      <xdr:rowOff>44825</xdr:rowOff>
    </xdr:from>
    <xdr:to>
      <xdr:col>8</xdr:col>
      <xdr:colOff>309283</xdr:colOff>
      <xdr:row>12</xdr:row>
      <xdr:rowOff>273425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3550024" y="3567954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71719</xdr:colOff>
      <xdr:row>13</xdr:row>
      <xdr:rowOff>44825</xdr:rowOff>
    </xdr:from>
    <xdr:to>
      <xdr:col>8</xdr:col>
      <xdr:colOff>300319</xdr:colOff>
      <xdr:row>13</xdr:row>
      <xdr:rowOff>273425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3541060" y="389964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80685</xdr:colOff>
      <xdr:row>12</xdr:row>
      <xdr:rowOff>53790</xdr:rowOff>
    </xdr:from>
    <xdr:to>
      <xdr:col>13</xdr:col>
      <xdr:colOff>309285</xdr:colOff>
      <xdr:row>12</xdr:row>
      <xdr:rowOff>282390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5477438" y="357691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80685</xdr:colOff>
      <xdr:row>13</xdr:row>
      <xdr:rowOff>44825</xdr:rowOff>
    </xdr:from>
    <xdr:to>
      <xdr:col>13</xdr:col>
      <xdr:colOff>309285</xdr:colOff>
      <xdr:row>13</xdr:row>
      <xdr:rowOff>273425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5477438" y="389964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80683</xdr:colOff>
      <xdr:row>12</xdr:row>
      <xdr:rowOff>35860</xdr:rowOff>
    </xdr:from>
    <xdr:to>
      <xdr:col>18</xdr:col>
      <xdr:colOff>309283</xdr:colOff>
      <xdr:row>12</xdr:row>
      <xdr:rowOff>264460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467601" y="355898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80685</xdr:colOff>
      <xdr:row>13</xdr:row>
      <xdr:rowOff>35860</xdr:rowOff>
    </xdr:from>
    <xdr:to>
      <xdr:col>18</xdr:col>
      <xdr:colOff>309285</xdr:colOff>
      <xdr:row>13</xdr:row>
      <xdr:rowOff>264460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7467603" y="3890684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125510</xdr:colOff>
      <xdr:row>19</xdr:row>
      <xdr:rowOff>8965</xdr:rowOff>
    </xdr:from>
    <xdr:to>
      <xdr:col>1</xdr:col>
      <xdr:colOff>354110</xdr:colOff>
      <xdr:row>19</xdr:row>
      <xdr:rowOff>237565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457204" y="576430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125507</xdr:colOff>
      <xdr:row>20</xdr:row>
      <xdr:rowOff>8965</xdr:rowOff>
    </xdr:from>
    <xdr:to>
      <xdr:col>1</xdr:col>
      <xdr:colOff>354107</xdr:colOff>
      <xdr:row>20</xdr:row>
      <xdr:rowOff>237565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457201" y="602428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125507</xdr:colOff>
      <xdr:row>21</xdr:row>
      <xdr:rowOff>8965</xdr:rowOff>
    </xdr:from>
    <xdr:to>
      <xdr:col>1</xdr:col>
      <xdr:colOff>354107</xdr:colOff>
      <xdr:row>21</xdr:row>
      <xdr:rowOff>237565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457201" y="628425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125507</xdr:colOff>
      <xdr:row>22</xdr:row>
      <xdr:rowOff>17930</xdr:rowOff>
    </xdr:from>
    <xdr:to>
      <xdr:col>1</xdr:col>
      <xdr:colOff>354107</xdr:colOff>
      <xdr:row>22</xdr:row>
      <xdr:rowOff>246530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457201" y="65532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71720</xdr:colOff>
      <xdr:row>19</xdr:row>
      <xdr:rowOff>8965</xdr:rowOff>
    </xdr:from>
    <xdr:to>
      <xdr:col>12</xdr:col>
      <xdr:colOff>300320</xdr:colOff>
      <xdr:row>19</xdr:row>
      <xdr:rowOff>237565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5082991" y="576430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71720</xdr:colOff>
      <xdr:row>20</xdr:row>
      <xdr:rowOff>8965</xdr:rowOff>
    </xdr:from>
    <xdr:to>
      <xdr:col>12</xdr:col>
      <xdr:colOff>300320</xdr:colOff>
      <xdr:row>20</xdr:row>
      <xdr:rowOff>237565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5082991" y="602428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71717</xdr:colOff>
      <xdr:row>21</xdr:row>
      <xdr:rowOff>8965</xdr:rowOff>
    </xdr:from>
    <xdr:to>
      <xdr:col>12</xdr:col>
      <xdr:colOff>300317</xdr:colOff>
      <xdr:row>21</xdr:row>
      <xdr:rowOff>237565</xdr:rowOff>
    </xdr:to>
    <xdr:sp macro="" textlink="">
      <xdr:nvSpPr>
        <xdr:cNvPr id="54" name="Rectangle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5082988" y="628425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71717</xdr:colOff>
      <xdr:row>22</xdr:row>
      <xdr:rowOff>8965</xdr:rowOff>
    </xdr:from>
    <xdr:to>
      <xdr:col>12</xdr:col>
      <xdr:colOff>300317</xdr:colOff>
      <xdr:row>22</xdr:row>
      <xdr:rowOff>237565</xdr:rowOff>
    </xdr:to>
    <xdr:sp macro="" textlink="">
      <xdr:nvSpPr>
        <xdr:cNvPr id="55" name="Rectangle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5082988" y="654423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107575</xdr:colOff>
      <xdr:row>26</xdr:row>
      <xdr:rowOff>0</xdr:rowOff>
    </xdr:from>
    <xdr:to>
      <xdr:col>1</xdr:col>
      <xdr:colOff>336175</xdr:colOff>
      <xdr:row>26</xdr:row>
      <xdr:rowOff>228600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439269" y="770068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53790</xdr:colOff>
      <xdr:row>26</xdr:row>
      <xdr:rowOff>8965</xdr:rowOff>
    </xdr:from>
    <xdr:to>
      <xdr:col>5</xdr:col>
      <xdr:colOff>282390</xdr:colOff>
      <xdr:row>26</xdr:row>
      <xdr:rowOff>237565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017061" y="770964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53790</xdr:colOff>
      <xdr:row>26</xdr:row>
      <xdr:rowOff>0</xdr:rowOff>
    </xdr:from>
    <xdr:to>
      <xdr:col>8</xdr:col>
      <xdr:colOff>282390</xdr:colOff>
      <xdr:row>26</xdr:row>
      <xdr:rowOff>228600</xdr:rowOff>
    </xdr:to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3523131" y="770068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53790</xdr:colOff>
      <xdr:row>26</xdr:row>
      <xdr:rowOff>0</xdr:rowOff>
    </xdr:from>
    <xdr:to>
      <xdr:col>14</xdr:col>
      <xdr:colOff>282390</xdr:colOff>
      <xdr:row>26</xdr:row>
      <xdr:rowOff>228600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5836025" y="770068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62755</xdr:colOff>
      <xdr:row>26</xdr:row>
      <xdr:rowOff>0</xdr:rowOff>
    </xdr:from>
    <xdr:to>
      <xdr:col>19</xdr:col>
      <xdr:colOff>291355</xdr:colOff>
      <xdr:row>26</xdr:row>
      <xdr:rowOff>228600</xdr:rowOff>
    </xdr:to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7835155" y="770068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107580</xdr:colOff>
      <xdr:row>27</xdr:row>
      <xdr:rowOff>8965</xdr:rowOff>
    </xdr:from>
    <xdr:to>
      <xdr:col>1</xdr:col>
      <xdr:colOff>336180</xdr:colOff>
      <xdr:row>27</xdr:row>
      <xdr:rowOff>237565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439274" y="7951694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107580</xdr:colOff>
      <xdr:row>42</xdr:row>
      <xdr:rowOff>8965</xdr:rowOff>
    </xdr:from>
    <xdr:to>
      <xdr:col>1</xdr:col>
      <xdr:colOff>336180</xdr:colOff>
      <xdr:row>42</xdr:row>
      <xdr:rowOff>237565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439274" y="1118795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89650</xdr:colOff>
      <xdr:row>42</xdr:row>
      <xdr:rowOff>8965</xdr:rowOff>
    </xdr:from>
    <xdr:to>
      <xdr:col>5</xdr:col>
      <xdr:colOff>318250</xdr:colOff>
      <xdr:row>42</xdr:row>
      <xdr:rowOff>237565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2052921" y="1118795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134473</xdr:colOff>
      <xdr:row>49</xdr:row>
      <xdr:rowOff>17930</xdr:rowOff>
    </xdr:from>
    <xdr:to>
      <xdr:col>1</xdr:col>
      <xdr:colOff>363073</xdr:colOff>
      <xdr:row>49</xdr:row>
      <xdr:rowOff>246530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>
        <a:xfrm>
          <a:off x="466167" y="1272091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80685</xdr:colOff>
      <xdr:row>49</xdr:row>
      <xdr:rowOff>17930</xdr:rowOff>
    </xdr:from>
    <xdr:to>
      <xdr:col>4</xdr:col>
      <xdr:colOff>309285</xdr:colOff>
      <xdr:row>49</xdr:row>
      <xdr:rowOff>246530</xdr:rowOff>
    </xdr:to>
    <xdr:sp macro="" textlink="">
      <xdr:nvSpPr>
        <xdr:cNvPr id="65" name="Rectangle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1658473" y="1272091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71720</xdr:colOff>
      <xdr:row>49</xdr:row>
      <xdr:rowOff>17930</xdr:rowOff>
    </xdr:from>
    <xdr:to>
      <xdr:col>6</xdr:col>
      <xdr:colOff>300320</xdr:colOff>
      <xdr:row>49</xdr:row>
      <xdr:rowOff>246530</xdr:rowOff>
    </xdr:to>
    <xdr:sp macro="" textlink="">
      <xdr:nvSpPr>
        <xdr:cNvPr id="66" name="Rectangle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>
          <a:off x="2420473" y="1272091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53</xdr:row>
          <xdr:rowOff>9525</xdr:rowOff>
        </xdr:from>
        <xdr:to>
          <xdr:col>1</xdr:col>
          <xdr:colOff>314325</xdr:colOff>
          <xdr:row>53</xdr:row>
          <xdr:rowOff>238125</xdr:rowOff>
        </xdr:to>
        <xdr:sp macro="" textlink="">
          <xdr:nvSpPr>
            <xdr:cNvPr id="2081" name="Check Box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52</xdr:row>
          <xdr:rowOff>228600</xdr:rowOff>
        </xdr:from>
        <xdr:to>
          <xdr:col>3</xdr:col>
          <xdr:colOff>295275</xdr:colOff>
          <xdr:row>54</xdr:row>
          <xdr:rowOff>9525</xdr:rowOff>
        </xdr:to>
        <xdr:sp macro="" textlink="">
          <xdr:nvSpPr>
            <xdr:cNvPr id="2082" name="Check Box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</xdr:col>
      <xdr:colOff>98613</xdr:colOff>
      <xdr:row>53</xdr:row>
      <xdr:rowOff>0</xdr:rowOff>
    </xdr:from>
    <xdr:to>
      <xdr:col>1</xdr:col>
      <xdr:colOff>327213</xdr:colOff>
      <xdr:row>53</xdr:row>
      <xdr:rowOff>228600</xdr:rowOff>
    </xdr:to>
    <xdr:sp macro="" textlink="">
      <xdr:nvSpPr>
        <xdr:cNvPr id="68" name="Rectangl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433893" y="162306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44825</xdr:colOff>
      <xdr:row>53</xdr:row>
      <xdr:rowOff>8965</xdr:rowOff>
    </xdr:from>
    <xdr:to>
      <xdr:col>3</xdr:col>
      <xdr:colOff>273425</xdr:colOff>
      <xdr:row>53</xdr:row>
      <xdr:rowOff>237565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>
          <a:off x="1241165" y="163202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24</xdr:row>
          <xdr:rowOff>9525</xdr:rowOff>
        </xdr:from>
        <xdr:to>
          <xdr:col>19</xdr:col>
          <xdr:colOff>314325</xdr:colOff>
          <xdr:row>24</xdr:row>
          <xdr:rowOff>228600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142875</xdr:colOff>
          <xdr:row>16</xdr:row>
          <xdr:rowOff>38100</xdr:rowOff>
        </xdr:from>
        <xdr:to>
          <xdr:col>10</xdr:col>
          <xdr:colOff>371475</xdr:colOff>
          <xdr:row>16</xdr:row>
          <xdr:rowOff>257175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21</xdr:row>
          <xdr:rowOff>28575</xdr:rowOff>
        </xdr:from>
        <xdr:to>
          <xdr:col>19</xdr:col>
          <xdr:colOff>314325</xdr:colOff>
          <xdr:row>21</xdr:row>
          <xdr:rowOff>228600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15</xdr:row>
          <xdr:rowOff>295275</xdr:rowOff>
        </xdr:from>
        <xdr:to>
          <xdr:col>6</xdr:col>
          <xdr:colOff>28575</xdr:colOff>
          <xdr:row>17</xdr:row>
          <xdr:rowOff>28575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21</xdr:row>
          <xdr:rowOff>238125</xdr:rowOff>
        </xdr:from>
        <xdr:to>
          <xdr:col>20</xdr:col>
          <xdr:colOff>0</xdr:colOff>
          <xdr:row>23</xdr:row>
          <xdr:rowOff>28575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46509</xdr:colOff>
      <xdr:row>0</xdr:row>
      <xdr:rowOff>96048</xdr:rowOff>
    </xdr:from>
    <xdr:to>
      <xdr:col>2</xdr:col>
      <xdr:colOff>298277</xdr:colOff>
      <xdr:row>2</xdr:row>
      <xdr:rowOff>376518</xdr:rowOff>
    </xdr:to>
    <xdr:pic macro="[0]!user">
      <xdr:nvPicPr>
        <xdr:cNvPr id="33" name="Picture 32" descr="New Orion Logo w-drop shadow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2210"/>
        <a:stretch/>
      </xdr:blipFill>
      <xdr:spPr bwMode="auto">
        <a:xfrm>
          <a:off x="46509" y="96048"/>
          <a:ext cx="1059488" cy="6157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286871</xdr:colOff>
      <xdr:row>0</xdr:row>
      <xdr:rowOff>0</xdr:rowOff>
    </xdr:from>
    <xdr:to>
      <xdr:col>23</xdr:col>
      <xdr:colOff>568036</xdr:colOff>
      <xdr:row>2</xdr:row>
      <xdr:rowOff>493059</xdr:rowOff>
    </xdr:to>
    <xdr:sp macro="" textlink="">
      <xdr:nvSpPr>
        <xdr:cNvPr id="34" name="Text Box 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 txBox="1">
          <a:spLocks noChangeArrowheads="1"/>
        </xdr:cNvSpPr>
      </xdr:nvSpPr>
      <xdr:spPr bwMode="auto">
        <a:xfrm>
          <a:off x="5719931" y="0"/>
          <a:ext cx="4228325" cy="828339"/>
        </a:xfrm>
        <a:prstGeom prst="rect">
          <a:avLst/>
        </a:prstGeom>
        <a:noFill/>
        <a:ln>
          <a:noFill/>
        </a:ln>
      </xdr:spPr>
      <xdr:txBody>
        <a:bodyPr rot="0" vert="horz" wrap="square" lIns="91440" tIns="45720" rIns="91440" bIns="45720" anchor="t" anchorCtr="0" upright="1">
          <a:noAutofit/>
        </a:bodyPr>
        <a:lstStyle/>
        <a:p>
          <a:pPr marL="0" marR="0" algn="just">
            <a:lnSpc>
              <a:spcPct val="107000"/>
            </a:lnSpc>
            <a:spcBef>
              <a:spcPts val="0"/>
            </a:spcBef>
            <a:spcAft>
              <a:spcPts val="800"/>
            </a:spcAft>
          </a:pPr>
          <a:r>
            <a:rPr lang="en-US" sz="120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Please complete and save this form for your personal records and email a copy to </a:t>
          </a:r>
          <a:r>
            <a:rPr lang="en-US" sz="1200" u="sng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marketing@orion4value.com</a:t>
          </a:r>
          <a:r>
            <a:rPr lang="en-US" sz="120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, or alternatively fax this form to:  303-456-6681.  If you have any questions, please call 303-645-4017</a:t>
          </a:r>
          <a:r>
            <a:rPr lang="en-US" sz="105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.</a:t>
          </a:r>
          <a:endParaRPr lang="en-US" sz="1600">
            <a:effectLst/>
            <a:latin typeface="Times New Roman" panose="02020603050405020304" pitchFamily="18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28575</xdr:rowOff>
        </xdr:from>
        <xdr:to>
          <xdr:col>1</xdr:col>
          <xdr:colOff>333375</xdr:colOff>
          <xdr:row>20</xdr:row>
          <xdr:rowOff>257175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19</xdr:row>
          <xdr:rowOff>276225</xdr:rowOff>
        </xdr:from>
        <xdr:to>
          <xdr:col>3</xdr:col>
          <xdr:colOff>314325</xdr:colOff>
          <xdr:row>21</xdr:row>
          <xdr:rowOff>9525</xdr:rowOff>
        </xdr:to>
        <xdr:sp macro="" textlink="">
          <xdr:nvSpPr>
            <xdr:cNvPr id="3105" name="Check Box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104775</xdr:colOff>
          <xdr:row>24</xdr:row>
          <xdr:rowOff>9525</xdr:rowOff>
        </xdr:from>
        <xdr:to>
          <xdr:col>22</xdr:col>
          <xdr:colOff>304800</xdr:colOff>
          <xdr:row>24</xdr:row>
          <xdr:rowOff>219075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104775</xdr:colOff>
          <xdr:row>21</xdr:row>
          <xdr:rowOff>9525</xdr:rowOff>
        </xdr:from>
        <xdr:to>
          <xdr:col>22</xdr:col>
          <xdr:colOff>304800</xdr:colOff>
          <xdr:row>21</xdr:row>
          <xdr:rowOff>219075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104775</xdr:colOff>
          <xdr:row>21</xdr:row>
          <xdr:rowOff>238125</xdr:rowOff>
        </xdr:from>
        <xdr:to>
          <xdr:col>23</xdr:col>
          <xdr:colOff>28575</xdr:colOff>
          <xdr:row>23</xdr:row>
          <xdr:rowOff>28575</xdr:rowOff>
        </xdr:to>
        <xdr:sp macro="" textlink="">
          <xdr:nvSpPr>
            <xdr:cNvPr id="3108" name="Check Box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</xdr:col>
      <xdr:colOff>89650</xdr:colOff>
      <xdr:row>16</xdr:row>
      <xdr:rowOff>26895</xdr:rowOff>
    </xdr:from>
    <xdr:to>
      <xdr:col>5</xdr:col>
      <xdr:colOff>318250</xdr:colOff>
      <xdr:row>16</xdr:row>
      <xdr:rowOff>255495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2052921" y="369346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125510</xdr:colOff>
      <xdr:row>16</xdr:row>
      <xdr:rowOff>26895</xdr:rowOff>
    </xdr:from>
    <xdr:to>
      <xdr:col>10</xdr:col>
      <xdr:colOff>354110</xdr:colOff>
      <xdr:row>16</xdr:row>
      <xdr:rowOff>255495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4401675" y="369346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107580</xdr:colOff>
      <xdr:row>20</xdr:row>
      <xdr:rowOff>17930</xdr:rowOff>
    </xdr:from>
    <xdr:to>
      <xdr:col>1</xdr:col>
      <xdr:colOff>336180</xdr:colOff>
      <xdr:row>20</xdr:row>
      <xdr:rowOff>246530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439274" y="466164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62754</xdr:colOff>
      <xdr:row>20</xdr:row>
      <xdr:rowOff>17930</xdr:rowOff>
    </xdr:from>
    <xdr:to>
      <xdr:col>3</xdr:col>
      <xdr:colOff>291354</xdr:colOff>
      <xdr:row>20</xdr:row>
      <xdr:rowOff>246530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255060" y="458993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98615</xdr:colOff>
      <xdr:row>21</xdr:row>
      <xdr:rowOff>0</xdr:rowOff>
    </xdr:from>
    <xdr:to>
      <xdr:col>19</xdr:col>
      <xdr:colOff>327215</xdr:colOff>
      <xdr:row>21</xdr:row>
      <xdr:rowOff>228600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8229603" y="4921624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98614</xdr:colOff>
      <xdr:row>22</xdr:row>
      <xdr:rowOff>17930</xdr:rowOff>
    </xdr:from>
    <xdr:to>
      <xdr:col>19</xdr:col>
      <xdr:colOff>327214</xdr:colOff>
      <xdr:row>22</xdr:row>
      <xdr:rowOff>246530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8229602" y="519953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80685</xdr:colOff>
      <xdr:row>21</xdr:row>
      <xdr:rowOff>0</xdr:rowOff>
    </xdr:from>
    <xdr:to>
      <xdr:col>22</xdr:col>
      <xdr:colOff>309285</xdr:colOff>
      <xdr:row>21</xdr:row>
      <xdr:rowOff>228600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9412944" y="4921624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80685</xdr:colOff>
      <xdr:row>22</xdr:row>
      <xdr:rowOff>8965</xdr:rowOff>
    </xdr:from>
    <xdr:to>
      <xdr:col>22</xdr:col>
      <xdr:colOff>309285</xdr:colOff>
      <xdr:row>22</xdr:row>
      <xdr:rowOff>237565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9412944" y="519056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80684</xdr:colOff>
      <xdr:row>24</xdr:row>
      <xdr:rowOff>8965</xdr:rowOff>
    </xdr:from>
    <xdr:to>
      <xdr:col>22</xdr:col>
      <xdr:colOff>309284</xdr:colOff>
      <xdr:row>24</xdr:row>
      <xdr:rowOff>237565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9412943" y="56208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98612</xdr:colOff>
      <xdr:row>24</xdr:row>
      <xdr:rowOff>3</xdr:rowOff>
    </xdr:from>
    <xdr:to>
      <xdr:col>19</xdr:col>
      <xdr:colOff>327212</xdr:colOff>
      <xdr:row>24</xdr:row>
      <xdr:rowOff>228603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229600" y="561190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46509</xdr:colOff>
      <xdr:row>0</xdr:row>
      <xdr:rowOff>96048</xdr:rowOff>
    </xdr:from>
    <xdr:to>
      <xdr:col>2</xdr:col>
      <xdr:colOff>298277</xdr:colOff>
      <xdr:row>2</xdr:row>
      <xdr:rowOff>376518</xdr:rowOff>
    </xdr:to>
    <xdr:pic macro="[0]!user">
      <xdr:nvPicPr>
        <xdr:cNvPr id="2" name="Picture 1" descr="New Orion Logo w-drop shado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2210"/>
        <a:stretch/>
      </xdr:blipFill>
      <xdr:spPr bwMode="auto">
        <a:xfrm>
          <a:off x="46509" y="96048"/>
          <a:ext cx="1059488" cy="6157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286871</xdr:colOff>
      <xdr:row>0</xdr:row>
      <xdr:rowOff>0</xdr:rowOff>
    </xdr:from>
    <xdr:to>
      <xdr:col>23</xdr:col>
      <xdr:colOff>568036</xdr:colOff>
      <xdr:row>2</xdr:row>
      <xdr:rowOff>493059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5986631" y="0"/>
          <a:ext cx="4114025" cy="828339"/>
        </a:xfrm>
        <a:prstGeom prst="rect">
          <a:avLst/>
        </a:prstGeom>
        <a:noFill/>
        <a:ln>
          <a:noFill/>
        </a:ln>
      </xdr:spPr>
      <xdr:txBody>
        <a:bodyPr rot="0" vert="horz" wrap="square" lIns="91440" tIns="45720" rIns="91440" bIns="45720" anchor="t" anchorCtr="0" upright="1">
          <a:noAutofit/>
        </a:bodyPr>
        <a:lstStyle/>
        <a:p>
          <a:pPr marL="0" marR="0" algn="just">
            <a:lnSpc>
              <a:spcPct val="107000"/>
            </a:lnSpc>
            <a:spcBef>
              <a:spcPts val="0"/>
            </a:spcBef>
            <a:spcAft>
              <a:spcPts val="800"/>
            </a:spcAft>
          </a:pPr>
          <a:r>
            <a:rPr lang="en-US" sz="120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Please complete and save this form for your personal records and email a copy to </a:t>
          </a:r>
          <a:r>
            <a:rPr lang="en-US" sz="1200" u="sng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marketing@orion4value.com</a:t>
          </a:r>
          <a:r>
            <a:rPr lang="en-US" sz="120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, or alternatively fax this form to:  303-456-6681.  If you have any questions, please call 303-645-4017</a:t>
          </a:r>
          <a:r>
            <a:rPr lang="en-US" sz="105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.</a:t>
          </a:r>
          <a:endParaRPr lang="en-US" sz="1600">
            <a:effectLst/>
            <a:latin typeface="Times New Roman" panose="02020603050405020304" pitchFamily="18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46509</xdr:colOff>
      <xdr:row>0</xdr:row>
      <xdr:rowOff>96048</xdr:rowOff>
    </xdr:from>
    <xdr:to>
      <xdr:col>2</xdr:col>
      <xdr:colOff>298277</xdr:colOff>
      <xdr:row>2</xdr:row>
      <xdr:rowOff>376518</xdr:rowOff>
    </xdr:to>
    <xdr:pic macro="[0]!user">
      <xdr:nvPicPr>
        <xdr:cNvPr id="9" name="Picture 8" descr="New Orion Logo w-drop shadow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2210"/>
        <a:stretch/>
      </xdr:blipFill>
      <xdr:spPr bwMode="auto">
        <a:xfrm>
          <a:off x="46509" y="96048"/>
          <a:ext cx="1059488" cy="6157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286871</xdr:colOff>
      <xdr:row>0</xdr:row>
      <xdr:rowOff>0</xdr:rowOff>
    </xdr:from>
    <xdr:to>
      <xdr:col>23</xdr:col>
      <xdr:colOff>568036</xdr:colOff>
      <xdr:row>2</xdr:row>
      <xdr:rowOff>493059</xdr:rowOff>
    </xdr:to>
    <xdr:sp macro="" textlink="">
      <xdr:nvSpPr>
        <xdr:cNvPr id="10" name="Text Box 3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>
          <a:spLocks noChangeArrowheads="1"/>
        </xdr:cNvSpPr>
      </xdr:nvSpPr>
      <xdr:spPr bwMode="auto">
        <a:xfrm>
          <a:off x="5979011" y="0"/>
          <a:ext cx="4281665" cy="828339"/>
        </a:xfrm>
        <a:prstGeom prst="rect">
          <a:avLst/>
        </a:prstGeom>
        <a:noFill/>
        <a:ln>
          <a:noFill/>
        </a:ln>
      </xdr:spPr>
      <xdr:txBody>
        <a:bodyPr rot="0" vert="horz" wrap="square" lIns="91440" tIns="45720" rIns="91440" bIns="45720" anchor="t" anchorCtr="0" upright="1">
          <a:noAutofit/>
        </a:bodyPr>
        <a:lstStyle/>
        <a:p>
          <a:pPr marL="0" marR="0" algn="just">
            <a:lnSpc>
              <a:spcPct val="107000"/>
            </a:lnSpc>
            <a:spcBef>
              <a:spcPts val="0"/>
            </a:spcBef>
            <a:spcAft>
              <a:spcPts val="800"/>
            </a:spcAft>
          </a:pPr>
          <a:r>
            <a:rPr lang="en-US" sz="120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Please complete and save this form for your personal records and email a copy to </a:t>
          </a:r>
          <a:r>
            <a:rPr lang="en-US" sz="1200" u="sng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marketing@orion4value.com</a:t>
          </a:r>
          <a:r>
            <a:rPr lang="en-US" sz="120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, or alternatively fax this form to:  303-456-6681.  If you have any questions, please call 303-645-4017</a:t>
          </a:r>
          <a:r>
            <a:rPr lang="en-US" sz="105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.</a:t>
          </a:r>
          <a:endParaRPr lang="en-US" sz="1600">
            <a:effectLst/>
            <a:latin typeface="Times New Roman" panose="02020603050405020304" pitchFamily="18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266700</xdr:rowOff>
        </xdr:from>
        <xdr:to>
          <xdr:col>1</xdr:col>
          <xdr:colOff>447675</xdr:colOff>
          <xdr:row>42</xdr:row>
          <xdr:rowOff>28575</xdr:rowOff>
        </xdr:to>
        <xdr:sp macro="" textlink="">
          <xdr:nvSpPr>
            <xdr:cNvPr id="6159" name="Check Box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3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40</xdr:row>
          <xdr:rowOff>266700</xdr:rowOff>
        </xdr:from>
        <xdr:to>
          <xdr:col>9</xdr:col>
          <xdr:colOff>409575</xdr:colOff>
          <xdr:row>42</xdr:row>
          <xdr:rowOff>28575</xdr:rowOff>
        </xdr:to>
        <xdr:sp macro="" textlink="">
          <xdr:nvSpPr>
            <xdr:cNvPr id="6160" name="Check Box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3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40</xdr:row>
          <xdr:rowOff>266700</xdr:rowOff>
        </xdr:from>
        <xdr:to>
          <xdr:col>17</xdr:col>
          <xdr:colOff>9525</xdr:colOff>
          <xdr:row>42</xdr:row>
          <xdr:rowOff>28575</xdr:rowOff>
        </xdr:to>
        <xdr:sp macro="" textlink="">
          <xdr:nvSpPr>
            <xdr:cNvPr id="6161" name="Check Box 17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3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52</xdr:row>
          <xdr:rowOff>161925</xdr:rowOff>
        </xdr:from>
        <xdr:to>
          <xdr:col>10</xdr:col>
          <xdr:colOff>9525</xdr:colOff>
          <xdr:row>53</xdr:row>
          <xdr:rowOff>295275</xdr:rowOff>
        </xdr:to>
        <xdr:sp macro="" textlink="">
          <xdr:nvSpPr>
            <xdr:cNvPr id="6164" name="Check Box 20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3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53</xdr:row>
          <xdr:rowOff>9525</xdr:rowOff>
        </xdr:from>
        <xdr:to>
          <xdr:col>13</xdr:col>
          <xdr:colOff>9525</xdr:colOff>
          <xdr:row>54</xdr:row>
          <xdr:rowOff>9525</xdr:rowOff>
        </xdr:to>
        <xdr:sp macro="" textlink="">
          <xdr:nvSpPr>
            <xdr:cNvPr id="6165" name="Check Box 21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3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57</xdr:row>
          <xdr:rowOff>47625</xdr:rowOff>
        </xdr:from>
        <xdr:to>
          <xdr:col>19</xdr:col>
          <xdr:colOff>342900</xdr:colOff>
          <xdr:row>58</xdr:row>
          <xdr:rowOff>0</xdr:rowOff>
        </xdr:to>
        <xdr:sp macro="" textlink="">
          <xdr:nvSpPr>
            <xdr:cNvPr id="6171" name="Check Box 27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3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104775</xdr:colOff>
          <xdr:row>57</xdr:row>
          <xdr:rowOff>314325</xdr:rowOff>
        </xdr:from>
        <xdr:to>
          <xdr:col>21</xdr:col>
          <xdr:colOff>333375</xdr:colOff>
          <xdr:row>59</xdr:row>
          <xdr:rowOff>9525</xdr:rowOff>
        </xdr:to>
        <xdr:sp macro="" textlink="">
          <xdr:nvSpPr>
            <xdr:cNvPr id="6196" name="Check Box 52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3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58</xdr:row>
          <xdr:rowOff>304800</xdr:rowOff>
        </xdr:from>
        <xdr:to>
          <xdr:col>19</xdr:col>
          <xdr:colOff>352425</xdr:colOff>
          <xdr:row>60</xdr:row>
          <xdr:rowOff>0</xdr:rowOff>
        </xdr:to>
        <xdr:sp macro="" textlink="">
          <xdr:nvSpPr>
            <xdr:cNvPr id="6197" name="Check Box 53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3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57</xdr:row>
          <xdr:rowOff>314325</xdr:rowOff>
        </xdr:from>
        <xdr:to>
          <xdr:col>19</xdr:col>
          <xdr:colOff>333375</xdr:colOff>
          <xdr:row>59</xdr:row>
          <xdr:rowOff>0</xdr:rowOff>
        </xdr:to>
        <xdr:sp macro="" textlink="">
          <xdr:nvSpPr>
            <xdr:cNvPr id="6199" name="Check Box 55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3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59</xdr:row>
          <xdr:rowOff>304800</xdr:rowOff>
        </xdr:from>
        <xdr:to>
          <xdr:col>19</xdr:col>
          <xdr:colOff>390525</xdr:colOff>
          <xdr:row>61</xdr:row>
          <xdr:rowOff>0</xdr:rowOff>
        </xdr:to>
        <xdr:sp macro="" textlink="">
          <xdr:nvSpPr>
            <xdr:cNvPr id="6200" name="Check Box 56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3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104775</xdr:colOff>
          <xdr:row>59</xdr:row>
          <xdr:rowOff>314325</xdr:rowOff>
        </xdr:from>
        <xdr:to>
          <xdr:col>21</xdr:col>
          <xdr:colOff>314325</xdr:colOff>
          <xdr:row>61</xdr:row>
          <xdr:rowOff>9525</xdr:rowOff>
        </xdr:to>
        <xdr:sp macro="" textlink="">
          <xdr:nvSpPr>
            <xdr:cNvPr id="6201" name="Check Box 57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3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104775</xdr:colOff>
          <xdr:row>58</xdr:row>
          <xdr:rowOff>314325</xdr:rowOff>
        </xdr:from>
        <xdr:to>
          <xdr:col>21</xdr:col>
          <xdr:colOff>333375</xdr:colOff>
          <xdr:row>60</xdr:row>
          <xdr:rowOff>9525</xdr:rowOff>
        </xdr:to>
        <xdr:sp macro="" textlink="">
          <xdr:nvSpPr>
            <xdr:cNvPr id="6202" name="Check Box 58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3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85725</xdr:colOff>
          <xdr:row>57</xdr:row>
          <xdr:rowOff>28575</xdr:rowOff>
        </xdr:from>
        <xdr:to>
          <xdr:col>21</xdr:col>
          <xdr:colOff>352425</xdr:colOff>
          <xdr:row>58</xdr:row>
          <xdr:rowOff>0</xdr:rowOff>
        </xdr:to>
        <xdr:sp macro="" textlink="">
          <xdr:nvSpPr>
            <xdr:cNvPr id="6204" name="Check Box 60" hidden="1">
              <a:extLst>
                <a:ext uri="{63B3BB69-23CF-44E3-9099-C40C66FF867C}">
                  <a14:compatExt spid="_x0000_s6204"/>
                </a:ext>
                <a:ext uri="{FF2B5EF4-FFF2-40B4-BE49-F238E27FC236}">
                  <a16:creationId xmlns:a16="http://schemas.microsoft.com/office/drawing/2014/main" id="{00000000-0008-0000-0300-00003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63</xdr:row>
          <xdr:rowOff>38100</xdr:rowOff>
        </xdr:from>
        <xdr:to>
          <xdr:col>19</xdr:col>
          <xdr:colOff>342900</xdr:colOff>
          <xdr:row>63</xdr:row>
          <xdr:rowOff>295275</xdr:rowOff>
        </xdr:to>
        <xdr:sp macro="" textlink="">
          <xdr:nvSpPr>
            <xdr:cNvPr id="6214" name="Check Box 70" hidden="1">
              <a:extLst>
                <a:ext uri="{63B3BB69-23CF-44E3-9099-C40C66FF867C}">
                  <a14:compatExt spid="_x0000_s6214"/>
                </a:ext>
                <a:ext uri="{FF2B5EF4-FFF2-40B4-BE49-F238E27FC236}">
                  <a16:creationId xmlns:a16="http://schemas.microsoft.com/office/drawing/2014/main" id="{00000000-0008-0000-0300-00004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85725</xdr:colOff>
          <xdr:row>63</xdr:row>
          <xdr:rowOff>28575</xdr:rowOff>
        </xdr:from>
        <xdr:to>
          <xdr:col>21</xdr:col>
          <xdr:colOff>333375</xdr:colOff>
          <xdr:row>64</xdr:row>
          <xdr:rowOff>0</xdr:rowOff>
        </xdr:to>
        <xdr:sp macro="" textlink="">
          <xdr:nvSpPr>
            <xdr:cNvPr id="6217" name="Check Box 73" hidden="1">
              <a:extLst>
                <a:ext uri="{63B3BB69-23CF-44E3-9099-C40C66FF867C}">
                  <a14:compatExt spid="_x0000_s6217"/>
                </a:ext>
                <a:ext uri="{FF2B5EF4-FFF2-40B4-BE49-F238E27FC236}">
                  <a16:creationId xmlns:a16="http://schemas.microsoft.com/office/drawing/2014/main" id="{00000000-0008-0000-0300-00004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104775</xdr:colOff>
          <xdr:row>65</xdr:row>
          <xdr:rowOff>28575</xdr:rowOff>
        </xdr:from>
        <xdr:to>
          <xdr:col>19</xdr:col>
          <xdr:colOff>314325</xdr:colOff>
          <xdr:row>65</xdr:row>
          <xdr:rowOff>276225</xdr:rowOff>
        </xdr:to>
        <xdr:sp macro="" textlink="">
          <xdr:nvSpPr>
            <xdr:cNvPr id="6218" name="Check Box 74" hidden="1">
              <a:extLst>
                <a:ext uri="{63B3BB69-23CF-44E3-9099-C40C66FF867C}">
                  <a14:compatExt spid="_x0000_s6218"/>
                </a:ext>
                <a:ext uri="{FF2B5EF4-FFF2-40B4-BE49-F238E27FC236}">
                  <a16:creationId xmlns:a16="http://schemas.microsoft.com/office/drawing/2014/main" id="{00000000-0008-0000-0300-00004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85725</xdr:colOff>
          <xdr:row>65</xdr:row>
          <xdr:rowOff>28575</xdr:rowOff>
        </xdr:from>
        <xdr:to>
          <xdr:col>21</xdr:col>
          <xdr:colOff>342900</xdr:colOff>
          <xdr:row>66</xdr:row>
          <xdr:rowOff>0</xdr:rowOff>
        </xdr:to>
        <xdr:sp macro="" textlink="">
          <xdr:nvSpPr>
            <xdr:cNvPr id="6219" name="Check Box 75" hidden="1">
              <a:extLst>
                <a:ext uri="{63B3BB69-23CF-44E3-9099-C40C66FF867C}">
                  <a14:compatExt spid="_x0000_s6219"/>
                </a:ext>
                <a:ext uri="{FF2B5EF4-FFF2-40B4-BE49-F238E27FC236}">
                  <a16:creationId xmlns:a16="http://schemas.microsoft.com/office/drawing/2014/main" id="{00000000-0008-0000-0300-00004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</xdr:col>
      <xdr:colOff>116545</xdr:colOff>
      <xdr:row>41</xdr:row>
      <xdr:rowOff>17930</xdr:rowOff>
    </xdr:from>
    <xdr:to>
      <xdr:col>1</xdr:col>
      <xdr:colOff>345145</xdr:colOff>
      <xdr:row>41</xdr:row>
      <xdr:rowOff>246530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448239" y="13536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80685</xdr:colOff>
      <xdr:row>41</xdr:row>
      <xdr:rowOff>17930</xdr:rowOff>
    </xdr:from>
    <xdr:to>
      <xdr:col>9</xdr:col>
      <xdr:colOff>309285</xdr:colOff>
      <xdr:row>41</xdr:row>
      <xdr:rowOff>246530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3935509" y="13536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71720</xdr:colOff>
      <xdr:row>41</xdr:row>
      <xdr:rowOff>17930</xdr:rowOff>
    </xdr:from>
    <xdr:to>
      <xdr:col>16</xdr:col>
      <xdr:colOff>300320</xdr:colOff>
      <xdr:row>41</xdr:row>
      <xdr:rowOff>246530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6822144" y="13536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98613</xdr:colOff>
      <xdr:row>47</xdr:row>
      <xdr:rowOff>35860</xdr:rowOff>
    </xdr:from>
    <xdr:to>
      <xdr:col>1</xdr:col>
      <xdr:colOff>327213</xdr:colOff>
      <xdr:row>47</xdr:row>
      <xdr:rowOff>264460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430307" y="276113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62754</xdr:colOff>
      <xdr:row>47</xdr:row>
      <xdr:rowOff>35860</xdr:rowOff>
    </xdr:from>
    <xdr:to>
      <xdr:col>4</xdr:col>
      <xdr:colOff>291354</xdr:colOff>
      <xdr:row>47</xdr:row>
      <xdr:rowOff>264460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1640542" y="276113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107580</xdr:colOff>
      <xdr:row>53</xdr:row>
      <xdr:rowOff>44825</xdr:rowOff>
    </xdr:from>
    <xdr:to>
      <xdr:col>9</xdr:col>
      <xdr:colOff>336180</xdr:colOff>
      <xdr:row>53</xdr:row>
      <xdr:rowOff>273425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3962404" y="414169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116545</xdr:colOff>
      <xdr:row>53</xdr:row>
      <xdr:rowOff>44825</xdr:rowOff>
    </xdr:from>
    <xdr:to>
      <xdr:col>12</xdr:col>
      <xdr:colOff>345145</xdr:colOff>
      <xdr:row>53</xdr:row>
      <xdr:rowOff>273425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5271251" y="414169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107580</xdr:colOff>
      <xdr:row>57</xdr:row>
      <xdr:rowOff>44825</xdr:rowOff>
    </xdr:from>
    <xdr:to>
      <xdr:col>19</xdr:col>
      <xdr:colOff>336180</xdr:colOff>
      <xdr:row>57</xdr:row>
      <xdr:rowOff>273425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8077204" y="582706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107576</xdr:colOff>
      <xdr:row>58</xdr:row>
      <xdr:rowOff>44825</xdr:rowOff>
    </xdr:from>
    <xdr:to>
      <xdr:col>19</xdr:col>
      <xdr:colOff>336176</xdr:colOff>
      <xdr:row>58</xdr:row>
      <xdr:rowOff>273425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8077200" y="614082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107578</xdr:colOff>
      <xdr:row>59</xdr:row>
      <xdr:rowOff>35860</xdr:rowOff>
    </xdr:from>
    <xdr:to>
      <xdr:col>19</xdr:col>
      <xdr:colOff>336178</xdr:colOff>
      <xdr:row>59</xdr:row>
      <xdr:rowOff>264460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8077202" y="644562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107580</xdr:colOff>
      <xdr:row>60</xdr:row>
      <xdr:rowOff>44825</xdr:rowOff>
    </xdr:from>
    <xdr:to>
      <xdr:col>19</xdr:col>
      <xdr:colOff>336180</xdr:colOff>
      <xdr:row>60</xdr:row>
      <xdr:rowOff>273425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8077204" y="6768354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107580</xdr:colOff>
      <xdr:row>63</xdr:row>
      <xdr:rowOff>44825</xdr:rowOff>
    </xdr:from>
    <xdr:to>
      <xdr:col>19</xdr:col>
      <xdr:colOff>336180</xdr:colOff>
      <xdr:row>63</xdr:row>
      <xdr:rowOff>273425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8077204" y="756621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89650</xdr:colOff>
      <xdr:row>65</xdr:row>
      <xdr:rowOff>44825</xdr:rowOff>
    </xdr:from>
    <xdr:to>
      <xdr:col>19</xdr:col>
      <xdr:colOff>318250</xdr:colOff>
      <xdr:row>65</xdr:row>
      <xdr:rowOff>273425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8059274" y="812202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89650</xdr:colOff>
      <xdr:row>57</xdr:row>
      <xdr:rowOff>44825</xdr:rowOff>
    </xdr:from>
    <xdr:to>
      <xdr:col>21</xdr:col>
      <xdr:colOff>318250</xdr:colOff>
      <xdr:row>57</xdr:row>
      <xdr:rowOff>273425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8875062" y="582706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89650</xdr:colOff>
      <xdr:row>58</xdr:row>
      <xdr:rowOff>44825</xdr:rowOff>
    </xdr:from>
    <xdr:to>
      <xdr:col>21</xdr:col>
      <xdr:colOff>318250</xdr:colOff>
      <xdr:row>58</xdr:row>
      <xdr:rowOff>273425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8875062" y="614082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89650</xdr:colOff>
      <xdr:row>59</xdr:row>
      <xdr:rowOff>44825</xdr:rowOff>
    </xdr:from>
    <xdr:to>
      <xdr:col>21</xdr:col>
      <xdr:colOff>318250</xdr:colOff>
      <xdr:row>59</xdr:row>
      <xdr:rowOff>273425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8875062" y="645459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89650</xdr:colOff>
      <xdr:row>60</xdr:row>
      <xdr:rowOff>44825</xdr:rowOff>
    </xdr:from>
    <xdr:to>
      <xdr:col>21</xdr:col>
      <xdr:colOff>318250</xdr:colOff>
      <xdr:row>60</xdr:row>
      <xdr:rowOff>273425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>
        <a:xfrm>
          <a:off x="8875062" y="6768354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80685</xdr:colOff>
      <xdr:row>63</xdr:row>
      <xdr:rowOff>44825</xdr:rowOff>
    </xdr:from>
    <xdr:to>
      <xdr:col>21</xdr:col>
      <xdr:colOff>309285</xdr:colOff>
      <xdr:row>63</xdr:row>
      <xdr:rowOff>273425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/>
      </xdr:nvSpPr>
      <xdr:spPr>
        <a:xfrm>
          <a:off x="8866097" y="756621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71720</xdr:colOff>
      <xdr:row>65</xdr:row>
      <xdr:rowOff>44825</xdr:rowOff>
    </xdr:from>
    <xdr:to>
      <xdr:col>21</xdr:col>
      <xdr:colOff>300320</xdr:colOff>
      <xdr:row>65</xdr:row>
      <xdr:rowOff>273425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/>
      </xdr:nvSpPr>
      <xdr:spPr>
        <a:xfrm>
          <a:off x="8857132" y="797859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46</xdr:row>
          <xdr:rowOff>276225</xdr:rowOff>
        </xdr:from>
        <xdr:to>
          <xdr:col>1</xdr:col>
          <xdr:colOff>428625</xdr:colOff>
          <xdr:row>48</xdr:row>
          <xdr:rowOff>0</xdr:rowOff>
        </xdr:to>
        <xdr:sp macro="" textlink="">
          <xdr:nvSpPr>
            <xdr:cNvPr id="6223" name="Check Box 79" hidden="1">
              <a:extLst>
                <a:ext uri="{63B3BB69-23CF-44E3-9099-C40C66FF867C}">
                  <a14:compatExt spid="_x0000_s6223"/>
                </a:ext>
                <a:ext uri="{FF2B5EF4-FFF2-40B4-BE49-F238E27FC236}">
                  <a16:creationId xmlns:a16="http://schemas.microsoft.com/office/drawing/2014/main" id="{00000000-0008-0000-0300-00004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46</xdr:row>
          <xdr:rowOff>276225</xdr:rowOff>
        </xdr:from>
        <xdr:to>
          <xdr:col>5</xdr:col>
          <xdr:colOff>9525</xdr:colOff>
          <xdr:row>48</xdr:row>
          <xdr:rowOff>0</xdr:rowOff>
        </xdr:to>
        <xdr:sp macro="" textlink="">
          <xdr:nvSpPr>
            <xdr:cNvPr id="6224" name="Check Box 80" hidden="1">
              <a:extLst>
                <a:ext uri="{63B3BB69-23CF-44E3-9099-C40C66FF867C}">
                  <a14:compatExt spid="_x0000_s6224"/>
                </a:ext>
                <a:ext uri="{FF2B5EF4-FFF2-40B4-BE49-F238E27FC236}">
                  <a16:creationId xmlns:a16="http://schemas.microsoft.com/office/drawing/2014/main" id="{00000000-0008-0000-0300-00005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142875</xdr:colOff>
          <xdr:row>32</xdr:row>
          <xdr:rowOff>28575</xdr:rowOff>
        </xdr:from>
        <xdr:to>
          <xdr:col>12</xdr:col>
          <xdr:colOff>352425</xdr:colOff>
          <xdr:row>33</xdr:row>
          <xdr:rowOff>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3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32</xdr:row>
          <xdr:rowOff>28575</xdr:rowOff>
        </xdr:from>
        <xdr:to>
          <xdr:col>14</xdr:col>
          <xdr:colOff>276225</xdr:colOff>
          <xdr:row>33</xdr:row>
          <xdr:rowOff>0</xdr:rowOff>
        </xdr:to>
        <xdr:sp macro="" textlink="">
          <xdr:nvSpPr>
            <xdr:cNvPr id="6228" name="Check Box 84" hidden="1">
              <a:extLst>
                <a:ext uri="{63B3BB69-23CF-44E3-9099-C40C66FF867C}">
                  <a14:compatExt spid="_x0000_s6228"/>
                </a:ext>
                <a:ext uri="{FF2B5EF4-FFF2-40B4-BE49-F238E27FC236}">
                  <a16:creationId xmlns:a16="http://schemas.microsoft.com/office/drawing/2014/main" id="{00000000-0008-0000-0300-00005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12</xdr:col>
      <xdr:colOff>134471</xdr:colOff>
      <xdr:row>32</xdr:row>
      <xdr:rowOff>44825</xdr:rowOff>
    </xdr:from>
    <xdr:to>
      <xdr:col>12</xdr:col>
      <xdr:colOff>363071</xdr:colOff>
      <xdr:row>32</xdr:row>
      <xdr:rowOff>273425</xdr:rowOff>
    </xdr:to>
    <xdr:sp macro="" textlink="">
      <xdr:nvSpPr>
        <xdr:cNvPr id="54" name="Rectangle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/>
      </xdr:nvSpPr>
      <xdr:spPr>
        <a:xfrm>
          <a:off x="5384651" y="1768512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62755</xdr:colOff>
      <xdr:row>32</xdr:row>
      <xdr:rowOff>35860</xdr:rowOff>
    </xdr:from>
    <xdr:to>
      <xdr:col>14</xdr:col>
      <xdr:colOff>291355</xdr:colOff>
      <xdr:row>32</xdr:row>
      <xdr:rowOff>264460</xdr:rowOff>
    </xdr:to>
    <xdr:sp macro="" textlink="">
      <xdr:nvSpPr>
        <xdr:cNvPr id="55" name="Rectangle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/>
      </xdr:nvSpPr>
      <xdr:spPr>
        <a:xfrm>
          <a:off x="6227335" y="1767616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46509</xdr:colOff>
      <xdr:row>0</xdr:row>
      <xdr:rowOff>96048</xdr:rowOff>
    </xdr:from>
    <xdr:to>
      <xdr:col>2</xdr:col>
      <xdr:colOff>298277</xdr:colOff>
      <xdr:row>2</xdr:row>
      <xdr:rowOff>376518</xdr:rowOff>
    </xdr:to>
    <xdr:pic macro="[0]!user">
      <xdr:nvPicPr>
        <xdr:cNvPr id="2" name="Picture 1" descr="New Orion Logo w-drop shadow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2210"/>
        <a:stretch/>
      </xdr:blipFill>
      <xdr:spPr bwMode="auto">
        <a:xfrm>
          <a:off x="46509" y="96048"/>
          <a:ext cx="1059488" cy="6157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286871</xdr:colOff>
      <xdr:row>0</xdr:row>
      <xdr:rowOff>0</xdr:rowOff>
    </xdr:from>
    <xdr:to>
      <xdr:col>23</xdr:col>
      <xdr:colOff>568036</xdr:colOff>
      <xdr:row>2</xdr:row>
      <xdr:rowOff>493059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>
          <a:spLocks noChangeArrowheads="1"/>
        </xdr:cNvSpPr>
      </xdr:nvSpPr>
      <xdr:spPr bwMode="auto">
        <a:xfrm>
          <a:off x="5887571" y="0"/>
          <a:ext cx="4114025" cy="828339"/>
        </a:xfrm>
        <a:prstGeom prst="rect">
          <a:avLst/>
        </a:prstGeom>
        <a:noFill/>
        <a:ln>
          <a:noFill/>
        </a:ln>
      </xdr:spPr>
      <xdr:txBody>
        <a:bodyPr rot="0" vert="horz" wrap="square" lIns="91440" tIns="45720" rIns="91440" bIns="45720" anchor="t" anchorCtr="0" upright="1">
          <a:noAutofit/>
        </a:bodyPr>
        <a:lstStyle/>
        <a:p>
          <a:pPr marL="0" marR="0" algn="just">
            <a:lnSpc>
              <a:spcPct val="107000"/>
            </a:lnSpc>
            <a:spcBef>
              <a:spcPts val="0"/>
            </a:spcBef>
            <a:spcAft>
              <a:spcPts val="800"/>
            </a:spcAft>
          </a:pPr>
          <a:r>
            <a:rPr lang="en-US" sz="120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Please complete and save this form for your personal records and email a copy to </a:t>
          </a:r>
          <a:r>
            <a:rPr lang="en-US" sz="1200" u="sng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marketing@orion4value.com</a:t>
          </a:r>
          <a:r>
            <a:rPr lang="en-US" sz="120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, or alternatively fax this form to:  303-456-6681.  If you have any questions, please call 303-645-4017</a:t>
          </a:r>
          <a:r>
            <a:rPr lang="en-US" sz="1050">
              <a:solidFill>
                <a:srgbClr val="C00000"/>
              </a:solidFill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.</a:t>
          </a:r>
          <a:endParaRPr lang="en-US" sz="1600">
            <a:effectLst/>
            <a:latin typeface="Times New Roman" panose="02020603050405020304" pitchFamily="18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12</xdr:row>
          <xdr:rowOff>238125</xdr:rowOff>
        </xdr:from>
        <xdr:to>
          <xdr:col>10</xdr:col>
          <xdr:colOff>381000</xdr:colOff>
          <xdr:row>14</xdr:row>
          <xdr:rowOff>9525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104775</xdr:colOff>
          <xdr:row>12</xdr:row>
          <xdr:rowOff>238125</xdr:rowOff>
        </xdr:from>
        <xdr:to>
          <xdr:col>14</xdr:col>
          <xdr:colOff>314325</xdr:colOff>
          <xdr:row>14</xdr:row>
          <xdr:rowOff>9525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104775</xdr:colOff>
          <xdr:row>12</xdr:row>
          <xdr:rowOff>238125</xdr:rowOff>
        </xdr:from>
        <xdr:to>
          <xdr:col>18</xdr:col>
          <xdr:colOff>314325</xdr:colOff>
          <xdr:row>14</xdr:row>
          <xdr:rowOff>9525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10</xdr:col>
      <xdr:colOff>143440</xdr:colOff>
      <xdr:row>13</xdr:row>
      <xdr:rowOff>17930</xdr:rowOff>
    </xdr:from>
    <xdr:to>
      <xdr:col>10</xdr:col>
      <xdr:colOff>372040</xdr:colOff>
      <xdr:row>13</xdr:row>
      <xdr:rowOff>246530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4441120" y="1937273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89650</xdr:colOff>
      <xdr:row>13</xdr:row>
      <xdr:rowOff>17930</xdr:rowOff>
    </xdr:from>
    <xdr:to>
      <xdr:col>14</xdr:col>
      <xdr:colOff>318250</xdr:colOff>
      <xdr:row>13</xdr:row>
      <xdr:rowOff>246530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6193270" y="1937273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80685</xdr:colOff>
      <xdr:row>13</xdr:row>
      <xdr:rowOff>17930</xdr:rowOff>
    </xdr:from>
    <xdr:to>
      <xdr:col>18</xdr:col>
      <xdr:colOff>309285</xdr:colOff>
      <xdr:row>13</xdr:row>
      <xdr:rowOff>246530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7799745" y="1937273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301881</xdr:colOff>
      <xdr:row>2</xdr:row>
      <xdr:rowOff>108061</xdr:rowOff>
    </xdr:to>
    <xdr:pic macro="[0]!user">
      <xdr:nvPicPr>
        <xdr:cNvPr id="2" name="Picture 1" descr="New Orion Logo w-drop shadow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253" t="4454" r="12028" b="11920"/>
        <a:stretch/>
      </xdr:blipFill>
      <xdr:spPr bwMode="auto">
        <a:xfrm>
          <a:off x="0" y="0"/>
          <a:ext cx="1284861" cy="999601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33</xdr:row>
          <xdr:rowOff>28575</xdr:rowOff>
        </xdr:from>
        <xdr:to>
          <xdr:col>4</xdr:col>
          <xdr:colOff>333375</xdr:colOff>
          <xdr:row>33</xdr:row>
          <xdr:rowOff>257175</xdr:rowOff>
        </xdr:to>
        <xdr:sp macro="" textlink="">
          <xdr:nvSpPr>
            <xdr:cNvPr id="10241" name="Check Box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33</xdr:row>
          <xdr:rowOff>28575</xdr:rowOff>
        </xdr:from>
        <xdr:to>
          <xdr:col>10</xdr:col>
          <xdr:colOff>333375</xdr:colOff>
          <xdr:row>33</xdr:row>
          <xdr:rowOff>257175</xdr:rowOff>
        </xdr:to>
        <xdr:sp macro="" textlink="">
          <xdr:nvSpPr>
            <xdr:cNvPr id="10243" name="Check Box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5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33</xdr:row>
          <xdr:rowOff>28575</xdr:rowOff>
        </xdr:from>
        <xdr:to>
          <xdr:col>16</xdr:col>
          <xdr:colOff>333375</xdr:colOff>
          <xdr:row>33</xdr:row>
          <xdr:rowOff>257175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5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85725</xdr:colOff>
          <xdr:row>33</xdr:row>
          <xdr:rowOff>28575</xdr:rowOff>
        </xdr:from>
        <xdr:to>
          <xdr:col>22</xdr:col>
          <xdr:colOff>333375</xdr:colOff>
          <xdr:row>33</xdr:row>
          <xdr:rowOff>257175</xdr:rowOff>
        </xdr:to>
        <xdr:sp macro="" textlink="">
          <xdr:nvSpPr>
            <xdr:cNvPr id="10245" name="Check Box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5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37</xdr:row>
          <xdr:rowOff>28575</xdr:rowOff>
        </xdr:from>
        <xdr:to>
          <xdr:col>4</xdr:col>
          <xdr:colOff>333375</xdr:colOff>
          <xdr:row>37</xdr:row>
          <xdr:rowOff>257175</xdr:rowOff>
        </xdr:to>
        <xdr:sp macro="" textlink="">
          <xdr:nvSpPr>
            <xdr:cNvPr id="10247" name="Check Box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5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39</xdr:row>
          <xdr:rowOff>28575</xdr:rowOff>
        </xdr:from>
        <xdr:to>
          <xdr:col>4</xdr:col>
          <xdr:colOff>333375</xdr:colOff>
          <xdr:row>39</xdr:row>
          <xdr:rowOff>257175</xdr:rowOff>
        </xdr:to>
        <xdr:sp macro="" textlink="">
          <xdr:nvSpPr>
            <xdr:cNvPr id="10248" name="Check Box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5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41</xdr:row>
          <xdr:rowOff>28575</xdr:rowOff>
        </xdr:from>
        <xdr:to>
          <xdr:col>4</xdr:col>
          <xdr:colOff>333375</xdr:colOff>
          <xdr:row>41</xdr:row>
          <xdr:rowOff>257175</xdr:rowOff>
        </xdr:to>
        <xdr:sp macro="" textlink="">
          <xdr:nvSpPr>
            <xdr:cNvPr id="10249" name="Check Box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5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37</xdr:row>
          <xdr:rowOff>28575</xdr:rowOff>
        </xdr:from>
        <xdr:to>
          <xdr:col>10</xdr:col>
          <xdr:colOff>333375</xdr:colOff>
          <xdr:row>37</xdr:row>
          <xdr:rowOff>257175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5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41</xdr:row>
          <xdr:rowOff>28575</xdr:rowOff>
        </xdr:from>
        <xdr:to>
          <xdr:col>10</xdr:col>
          <xdr:colOff>333375</xdr:colOff>
          <xdr:row>41</xdr:row>
          <xdr:rowOff>257175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5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85725</xdr:colOff>
          <xdr:row>37</xdr:row>
          <xdr:rowOff>28575</xdr:rowOff>
        </xdr:from>
        <xdr:to>
          <xdr:col>22</xdr:col>
          <xdr:colOff>333375</xdr:colOff>
          <xdr:row>37</xdr:row>
          <xdr:rowOff>257175</xdr:rowOff>
        </xdr:to>
        <xdr:sp macro="" textlink="">
          <xdr:nvSpPr>
            <xdr:cNvPr id="10252" name="Check Box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5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85725</xdr:colOff>
          <xdr:row>39</xdr:row>
          <xdr:rowOff>28575</xdr:rowOff>
        </xdr:from>
        <xdr:to>
          <xdr:col>22</xdr:col>
          <xdr:colOff>333375</xdr:colOff>
          <xdr:row>39</xdr:row>
          <xdr:rowOff>257175</xdr:rowOff>
        </xdr:to>
        <xdr:sp macro="" textlink="">
          <xdr:nvSpPr>
            <xdr:cNvPr id="10253" name="Check Box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5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85725</xdr:colOff>
          <xdr:row>37</xdr:row>
          <xdr:rowOff>28575</xdr:rowOff>
        </xdr:from>
        <xdr:to>
          <xdr:col>28</xdr:col>
          <xdr:colOff>333375</xdr:colOff>
          <xdr:row>37</xdr:row>
          <xdr:rowOff>257175</xdr:rowOff>
        </xdr:to>
        <xdr:sp macro="" textlink="">
          <xdr:nvSpPr>
            <xdr:cNvPr id="10254" name="Check Box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5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45</xdr:row>
          <xdr:rowOff>28575</xdr:rowOff>
        </xdr:from>
        <xdr:to>
          <xdr:col>2</xdr:col>
          <xdr:colOff>333375</xdr:colOff>
          <xdr:row>45</xdr:row>
          <xdr:rowOff>257175</xdr:rowOff>
        </xdr:to>
        <xdr:sp macro="" textlink="">
          <xdr:nvSpPr>
            <xdr:cNvPr id="10255" name="Check Box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5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47</xdr:row>
          <xdr:rowOff>28575</xdr:rowOff>
        </xdr:from>
        <xdr:to>
          <xdr:col>2</xdr:col>
          <xdr:colOff>333375</xdr:colOff>
          <xdr:row>47</xdr:row>
          <xdr:rowOff>257175</xdr:rowOff>
        </xdr:to>
        <xdr:sp macro="" textlink="">
          <xdr:nvSpPr>
            <xdr:cNvPr id="10256" name="Check Box 16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5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49</xdr:row>
          <xdr:rowOff>28575</xdr:rowOff>
        </xdr:from>
        <xdr:to>
          <xdr:col>5</xdr:col>
          <xdr:colOff>333375</xdr:colOff>
          <xdr:row>49</xdr:row>
          <xdr:rowOff>257175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5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49</xdr:row>
          <xdr:rowOff>28575</xdr:rowOff>
        </xdr:from>
        <xdr:to>
          <xdr:col>10</xdr:col>
          <xdr:colOff>333375</xdr:colOff>
          <xdr:row>49</xdr:row>
          <xdr:rowOff>257175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5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45</xdr:row>
          <xdr:rowOff>28575</xdr:rowOff>
        </xdr:from>
        <xdr:to>
          <xdr:col>8</xdr:col>
          <xdr:colOff>333375</xdr:colOff>
          <xdr:row>45</xdr:row>
          <xdr:rowOff>257175</xdr:rowOff>
        </xdr:to>
        <xdr:sp macro="" textlink="">
          <xdr:nvSpPr>
            <xdr:cNvPr id="10259" name="Check Box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5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45</xdr:row>
          <xdr:rowOff>28575</xdr:rowOff>
        </xdr:from>
        <xdr:to>
          <xdr:col>13</xdr:col>
          <xdr:colOff>333375</xdr:colOff>
          <xdr:row>45</xdr:row>
          <xdr:rowOff>257175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5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45</xdr:row>
          <xdr:rowOff>28575</xdr:rowOff>
        </xdr:from>
        <xdr:to>
          <xdr:col>19</xdr:col>
          <xdr:colOff>333375</xdr:colOff>
          <xdr:row>45</xdr:row>
          <xdr:rowOff>257175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5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53</xdr:row>
          <xdr:rowOff>28575</xdr:rowOff>
        </xdr:from>
        <xdr:to>
          <xdr:col>2</xdr:col>
          <xdr:colOff>333375</xdr:colOff>
          <xdr:row>53</xdr:row>
          <xdr:rowOff>257175</xdr:rowOff>
        </xdr:to>
        <xdr:sp macro="" textlink="">
          <xdr:nvSpPr>
            <xdr:cNvPr id="10262" name="Check Box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5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53</xdr:row>
          <xdr:rowOff>28575</xdr:rowOff>
        </xdr:from>
        <xdr:to>
          <xdr:col>6</xdr:col>
          <xdr:colOff>333375</xdr:colOff>
          <xdr:row>53</xdr:row>
          <xdr:rowOff>257175</xdr:rowOff>
        </xdr:to>
        <xdr:sp macro="" textlink="">
          <xdr:nvSpPr>
            <xdr:cNvPr id="10263" name="Check Box 2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5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63</xdr:row>
          <xdr:rowOff>28575</xdr:rowOff>
        </xdr:from>
        <xdr:to>
          <xdr:col>27</xdr:col>
          <xdr:colOff>333375</xdr:colOff>
          <xdr:row>63</xdr:row>
          <xdr:rowOff>257175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5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85725</xdr:colOff>
          <xdr:row>63</xdr:row>
          <xdr:rowOff>28575</xdr:rowOff>
        </xdr:from>
        <xdr:to>
          <xdr:col>31</xdr:col>
          <xdr:colOff>333375</xdr:colOff>
          <xdr:row>63</xdr:row>
          <xdr:rowOff>257175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5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67</xdr:row>
          <xdr:rowOff>28575</xdr:rowOff>
        </xdr:from>
        <xdr:to>
          <xdr:col>2</xdr:col>
          <xdr:colOff>333375</xdr:colOff>
          <xdr:row>67</xdr:row>
          <xdr:rowOff>257175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5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69</xdr:row>
          <xdr:rowOff>28575</xdr:rowOff>
        </xdr:from>
        <xdr:to>
          <xdr:col>2</xdr:col>
          <xdr:colOff>333375</xdr:colOff>
          <xdr:row>69</xdr:row>
          <xdr:rowOff>257175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5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67</xdr:row>
          <xdr:rowOff>28575</xdr:rowOff>
        </xdr:from>
        <xdr:to>
          <xdr:col>6</xdr:col>
          <xdr:colOff>333375</xdr:colOff>
          <xdr:row>67</xdr:row>
          <xdr:rowOff>257175</xdr:rowOff>
        </xdr:to>
        <xdr:sp macro="" textlink="">
          <xdr:nvSpPr>
            <xdr:cNvPr id="10268" name="Check Box 28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5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69</xdr:row>
          <xdr:rowOff>28575</xdr:rowOff>
        </xdr:from>
        <xdr:to>
          <xdr:col>11</xdr:col>
          <xdr:colOff>333375</xdr:colOff>
          <xdr:row>69</xdr:row>
          <xdr:rowOff>257175</xdr:rowOff>
        </xdr:to>
        <xdr:sp macro="" textlink="">
          <xdr:nvSpPr>
            <xdr:cNvPr id="10269" name="Check Box 29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5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85725</xdr:colOff>
          <xdr:row>69</xdr:row>
          <xdr:rowOff>28575</xdr:rowOff>
        </xdr:from>
        <xdr:to>
          <xdr:col>21</xdr:col>
          <xdr:colOff>333375</xdr:colOff>
          <xdr:row>69</xdr:row>
          <xdr:rowOff>257175</xdr:rowOff>
        </xdr:to>
        <xdr:sp macro="" textlink="">
          <xdr:nvSpPr>
            <xdr:cNvPr id="10270" name="Check Box 30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5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81</xdr:row>
          <xdr:rowOff>28575</xdr:rowOff>
        </xdr:from>
        <xdr:to>
          <xdr:col>2</xdr:col>
          <xdr:colOff>333375</xdr:colOff>
          <xdr:row>81</xdr:row>
          <xdr:rowOff>257175</xdr:rowOff>
        </xdr:to>
        <xdr:sp macro="" textlink="">
          <xdr:nvSpPr>
            <xdr:cNvPr id="10271" name="Check Box 31" hidden="1">
              <a:extLst>
                <a:ext uri="{63B3BB69-23CF-44E3-9099-C40C66FF867C}">
                  <a14:compatExt spid="_x0000_s10271"/>
                </a:ext>
                <a:ext uri="{FF2B5EF4-FFF2-40B4-BE49-F238E27FC236}">
                  <a16:creationId xmlns:a16="http://schemas.microsoft.com/office/drawing/2014/main" id="{00000000-0008-0000-0500-00001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81</xdr:row>
          <xdr:rowOff>28575</xdr:rowOff>
        </xdr:from>
        <xdr:to>
          <xdr:col>14</xdr:col>
          <xdr:colOff>333375</xdr:colOff>
          <xdr:row>81</xdr:row>
          <xdr:rowOff>257175</xdr:rowOff>
        </xdr:to>
        <xdr:sp macro="" textlink="">
          <xdr:nvSpPr>
            <xdr:cNvPr id="10272" name="Check Box 32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5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73</xdr:row>
          <xdr:rowOff>28575</xdr:rowOff>
        </xdr:from>
        <xdr:to>
          <xdr:col>11</xdr:col>
          <xdr:colOff>333375</xdr:colOff>
          <xdr:row>73</xdr:row>
          <xdr:rowOff>257175</xdr:rowOff>
        </xdr:to>
        <xdr:sp macro="" textlink="">
          <xdr:nvSpPr>
            <xdr:cNvPr id="10273" name="Check Box 33" hidden="1">
              <a:extLst>
                <a:ext uri="{63B3BB69-23CF-44E3-9099-C40C66FF867C}">
                  <a14:compatExt spid="_x0000_s10273"/>
                </a:ext>
                <a:ext uri="{FF2B5EF4-FFF2-40B4-BE49-F238E27FC236}">
                  <a16:creationId xmlns:a16="http://schemas.microsoft.com/office/drawing/2014/main" id="{00000000-0008-0000-0500-00002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73</xdr:row>
          <xdr:rowOff>28575</xdr:rowOff>
        </xdr:from>
        <xdr:to>
          <xdr:col>16</xdr:col>
          <xdr:colOff>333375</xdr:colOff>
          <xdr:row>73</xdr:row>
          <xdr:rowOff>257175</xdr:rowOff>
        </xdr:to>
        <xdr:sp macro="" textlink="">
          <xdr:nvSpPr>
            <xdr:cNvPr id="10274" name="Check Box 34" hidden="1">
              <a:extLst>
                <a:ext uri="{63B3BB69-23CF-44E3-9099-C40C66FF867C}">
                  <a14:compatExt spid="_x0000_s10274"/>
                </a:ext>
                <a:ext uri="{FF2B5EF4-FFF2-40B4-BE49-F238E27FC236}">
                  <a16:creationId xmlns:a16="http://schemas.microsoft.com/office/drawing/2014/main" id="{00000000-0008-0000-0500-00002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</xdr:col>
      <xdr:colOff>65314</xdr:colOff>
      <xdr:row>9</xdr:row>
      <xdr:rowOff>43542</xdr:rowOff>
    </xdr:from>
    <xdr:to>
      <xdr:col>2</xdr:col>
      <xdr:colOff>293914</xdr:colOff>
      <xdr:row>9</xdr:row>
      <xdr:rowOff>272142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707571" y="305888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10</xdr:row>
      <xdr:rowOff>43542</xdr:rowOff>
    </xdr:from>
    <xdr:to>
      <xdr:col>2</xdr:col>
      <xdr:colOff>293914</xdr:colOff>
      <xdr:row>10</xdr:row>
      <xdr:rowOff>272142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/>
      </xdr:nvSpPr>
      <xdr:spPr>
        <a:xfrm>
          <a:off x="707571" y="305888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11</xdr:row>
      <xdr:rowOff>43542</xdr:rowOff>
    </xdr:from>
    <xdr:to>
      <xdr:col>2</xdr:col>
      <xdr:colOff>293914</xdr:colOff>
      <xdr:row>11</xdr:row>
      <xdr:rowOff>272142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12</xdr:row>
      <xdr:rowOff>43542</xdr:rowOff>
    </xdr:from>
    <xdr:to>
      <xdr:col>2</xdr:col>
      <xdr:colOff>293914</xdr:colOff>
      <xdr:row>12</xdr:row>
      <xdr:rowOff>272142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13</xdr:row>
      <xdr:rowOff>43542</xdr:rowOff>
    </xdr:from>
    <xdr:to>
      <xdr:col>2</xdr:col>
      <xdr:colOff>293914</xdr:colOff>
      <xdr:row>13</xdr:row>
      <xdr:rowOff>272142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14</xdr:row>
      <xdr:rowOff>43542</xdr:rowOff>
    </xdr:from>
    <xdr:to>
      <xdr:col>2</xdr:col>
      <xdr:colOff>293914</xdr:colOff>
      <xdr:row>14</xdr:row>
      <xdr:rowOff>272142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15</xdr:row>
      <xdr:rowOff>43542</xdr:rowOff>
    </xdr:from>
    <xdr:to>
      <xdr:col>2</xdr:col>
      <xdr:colOff>293914</xdr:colOff>
      <xdr:row>15</xdr:row>
      <xdr:rowOff>272142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16</xdr:row>
      <xdr:rowOff>43542</xdr:rowOff>
    </xdr:from>
    <xdr:to>
      <xdr:col>2</xdr:col>
      <xdr:colOff>293914</xdr:colOff>
      <xdr:row>16</xdr:row>
      <xdr:rowOff>272142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17</xdr:row>
      <xdr:rowOff>43542</xdr:rowOff>
    </xdr:from>
    <xdr:to>
      <xdr:col>2</xdr:col>
      <xdr:colOff>293914</xdr:colOff>
      <xdr:row>17</xdr:row>
      <xdr:rowOff>272142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18</xdr:row>
      <xdr:rowOff>43542</xdr:rowOff>
    </xdr:from>
    <xdr:to>
      <xdr:col>2</xdr:col>
      <xdr:colOff>293914</xdr:colOff>
      <xdr:row>18</xdr:row>
      <xdr:rowOff>272142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19</xdr:row>
      <xdr:rowOff>43542</xdr:rowOff>
    </xdr:from>
    <xdr:to>
      <xdr:col>2</xdr:col>
      <xdr:colOff>293914</xdr:colOff>
      <xdr:row>19</xdr:row>
      <xdr:rowOff>272142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20</xdr:row>
      <xdr:rowOff>43542</xdr:rowOff>
    </xdr:from>
    <xdr:to>
      <xdr:col>2</xdr:col>
      <xdr:colOff>293914</xdr:colOff>
      <xdr:row>20</xdr:row>
      <xdr:rowOff>272142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21</xdr:row>
      <xdr:rowOff>43542</xdr:rowOff>
    </xdr:from>
    <xdr:to>
      <xdr:col>2</xdr:col>
      <xdr:colOff>293914</xdr:colOff>
      <xdr:row>21</xdr:row>
      <xdr:rowOff>272142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22</xdr:row>
      <xdr:rowOff>43542</xdr:rowOff>
    </xdr:from>
    <xdr:to>
      <xdr:col>2</xdr:col>
      <xdr:colOff>293914</xdr:colOff>
      <xdr:row>22</xdr:row>
      <xdr:rowOff>272142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23</xdr:row>
      <xdr:rowOff>43542</xdr:rowOff>
    </xdr:from>
    <xdr:to>
      <xdr:col>2</xdr:col>
      <xdr:colOff>293914</xdr:colOff>
      <xdr:row>23</xdr:row>
      <xdr:rowOff>272142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65314</xdr:colOff>
      <xdr:row>24</xdr:row>
      <xdr:rowOff>43542</xdr:rowOff>
    </xdr:from>
    <xdr:to>
      <xdr:col>2</xdr:col>
      <xdr:colOff>293914</xdr:colOff>
      <xdr:row>24</xdr:row>
      <xdr:rowOff>272142</xdr:rowOff>
    </xdr:to>
    <xdr:sp macro="" textlink="">
      <xdr:nvSpPr>
        <xdr:cNvPr id="54" name="Rectangle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707571" y="337457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9</xdr:row>
      <xdr:rowOff>43544</xdr:rowOff>
    </xdr:from>
    <xdr:to>
      <xdr:col>19</xdr:col>
      <xdr:colOff>326574</xdr:colOff>
      <xdr:row>9</xdr:row>
      <xdr:rowOff>272144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10</xdr:row>
      <xdr:rowOff>43544</xdr:rowOff>
    </xdr:from>
    <xdr:to>
      <xdr:col>19</xdr:col>
      <xdr:colOff>326574</xdr:colOff>
      <xdr:row>10</xdr:row>
      <xdr:rowOff>272144</xdr:rowOff>
    </xdr:to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11</xdr:row>
      <xdr:rowOff>43544</xdr:rowOff>
    </xdr:from>
    <xdr:to>
      <xdr:col>19</xdr:col>
      <xdr:colOff>326574</xdr:colOff>
      <xdr:row>11</xdr:row>
      <xdr:rowOff>272144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12</xdr:row>
      <xdr:rowOff>43544</xdr:rowOff>
    </xdr:from>
    <xdr:to>
      <xdr:col>19</xdr:col>
      <xdr:colOff>326574</xdr:colOff>
      <xdr:row>12</xdr:row>
      <xdr:rowOff>272144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13</xdr:row>
      <xdr:rowOff>43544</xdr:rowOff>
    </xdr:from>
    <xdr:to>
      <xdr:col>19</xdr:col>
      <xdr:colOff>326574</xdr:colOff>
      <xdr:row>13</xdr:row>
      <xdr:rowOff>272144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7239003" y="432163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14</xdr:row>
      <xdr:rowOff>43544</xdr:rowOff>
    </xdr:from>
    <xdr:to>
      <xdr:col>19</xdr:col>
      <xdr:colOff>326574</xdr:colOff>
      <xdr:row>14</xdr:row>
      <xdr:rowOff>272144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15</xdr:row>
      <xdr:rowOff>43544</xdr:rowOff>
    </xdr:from>
    <xdr:to>
      <xdr:col>19</xdr:col>
      <xdr:colOff>326574</xdr:colOff>
      <xdr:row>15</xdr:row>
      <xdr:rowOff>272144</xdr:rowOff>
    </xdr:to>
    <xdr:sp macro="" textlink="">
      <xdr:nvSpPr>
        <xdr:cNvPr id="65" name="Rectangle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16</xdr:row>
      <xdr:rowOff>43544</xdr:rowOff>
    </xdr:from>
    <xdr:to>
      <xdr:col>19</xdr:col>
      <xdr:colOff>326574</xdr:colOff>
      <xdr:row>16</xdr:row>
      <xdr:rowOff>272144</xdr:rowOff>
    </xdr:to>
    <xdr:sp macro="" textlink="">
      <xdr:nvSpPr>
        <xdr:cNvPr id="66" name="Rectangle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17</xdr:row>
      <xdr:rowOff>43544</xdr:rowOff>
    </xdr:from>
    <xdr:to>
      <xdr:col>19</xdr:col>
      <xdr:colOff>326574</xdr:colOff>
      <xdr:row>17</xdr:row>
      <xdr:rowOff>272144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18</xdr:row>
      <xdr:rowOff>43544</xdr:rowOff>
    </xdr:from>
    <xdr:to>
      <xdr:col>19</xdr:col>
      <xdr:colOff>326574</xdr:colOff>
      <xdr:row>18</xdr:row>
      <xdr:rowOff>272144</xdr:rowOff>
    </xdr:to>
    <xdr:sp macro="" textlink="">
      <xdr:nvSpPr>
        <xdr:cNvPr id="68" name="Rectangle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19</xdr:row>
      <xdr:rowOff>43544</xdr:rowOff>
    </xdr:from>
    <xdr:to>
      <xdr:col>19</xdr:col>
      <xdr:colOff>326574</xdr:colOff>
      <xdr:row>19</xdr:row>
      <xdr:rowOff>272144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20</xdr:row>
      <xdr:rowOff>43544</xdr:rowOff>
    </xdr:from>
    <xdr:to>
      <xdr:col>19</xdr:col>
      <xdr:colOff>326574</xdr:colOff>
      <xdr:row>20</xdr:row>
      <xdr:rowOff>272144</xdr:rowOff>
    </xdr:to>
    <xdr:sp macro="" textlink="">
      <xdr:nvSpPr>
        <xdr:cNvPr id="70" name="Rectangle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21</xdr:row>
      <xdr:rowOff>43544</xdr:rowOff>
    </xdr:from>
    <xdr:to>
      <xdr:col>19</xdr:col>
      <xdr:colOff>326574</xdr:colOff>
      <xdr:row>21</xdr:row>
      <xdr:rowOff>272144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22</xdr:row>
      <xdr:rowOff>43544</xdr:rowOff>
    </xdr:from>
    <xdr:to>
      <xdr:col>19</xdr:col>
      <xdr:colOff>326574</xdr:colOff>
      <xdr:row>22</xdr:row>
      <xdr:rowOff>272144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23</xdr:row>
      <xdr:rowOff>43544</xdr:rowOff>
    </xdr:from>
    <xdr:to>
      <xdr:col>19</xdr:col>
      <xdr:colOff>326574</xdr:colOff>
      <xdr:row>23</xdr:row>
      <xdr:rowOff>272144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24</xdr:row>
      <xdr:rowOff>43544</xdr:rowOff>
    </xdr:from>
    <xdr:to>
      <xdr:col>19</xdr:col>
      <xdr:colOff>326574</xdr:colOff>
      <xdr:row>24</xdr:row>
      <xdr:rowOff>272144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97974</xdr:colOff>
      <xdr:row>25</xdr:row>
      <xdr:rowOff>43544</xdr:rowOff>
    </xdr:from>
    <xdr:to>
      <xdr:col>19</xdr:col>
      <xdr:colOff>326574</xdr:colOff>
      <xdr:row>25</xdr:row>
      <xdr:rowOff>272144</xdr:rowOff>
    </xdr:to>
    <xdr:sp macro="" textlink="">
      <xdr:nvSpPr>
        <xdr:cNvPr id="75" name="Rectangle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/>
      </xdr:nvSpPr>
      <xdr:spPr>
        <a:xfrm>
          <a:off x="7206345" y="30588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65313</xdr:colOff>
      <xdr:row>31</xdr:row>
      <xdr:rowOff>21772</xdr:rowOff>
    </xdr:from>
    <xdr:to>
      <xdr:col>2</xdr:col>
      <xdr:colOff>293913</xdr:colOff>
      <xdr:row>31</xdr:row>
      <xdr:rowOff>250372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/>
      </xdr:nvSpPr>
      <xdr:spPr>
        <a:xfrm>
          <a:off x="707570" y="980802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76198</xdr:colOff>
      <xdr:row>33</xdr:row>
      <xdr:rowOff>21772</xdr:rowOff>
    </xdr:from>
    <xdr:to>
      <xdr:col>4</xdr:col>
      <xdr:colOff>304798</xdr:colOff>
      <xdr:row>33</xdr:row>
      <xdr:rowOff>250372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/>
      </xdr:nvSpPr>
      <xdr:spPr>
        <a:xfrm>
          <a:off x="1447798" y="101781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76198</xdr:colOff>
      <xdr:row>33</xdr:row>
      <xdr:rowOff>21771</xdr:rowOff>
    </xdr:from>
    <xdr:to>
      <xdr:col>10</xdr:col>
      <xdr:colOff>304798</xdr:colOff>
      <xdr:row>33</xdr:row>
      <xdr:rowOff>250371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/>
      </xdr:nvSpPr>
      <xdr:spPr>
        <a:xfrm>
          <a:off x="3842655" y="1017814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76202</xdr:colOff>
      <xdr:row>33</xdr:row>
      <xdr:rowOff>21773</xdr:rowOff>
    </xdr:from>
    <xdr:to>
      <xdr:col>16</xdr:col>
      <xdr:colOff>304802</xdr:colOff>
      <xdr:row>33</xdr:row>
      <xdr:rowOff>250373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/>
      </xdr:nvSpPr>
      <xdr:spPr>
        <a:xfrm>
          <a:off x="6106888" y="10178144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76199</xdr:colOff>
      <xdr:row>33</xdr:row>
      <xdr:rowOff>32656</xdr:rowOff>
    </xdr:from>
    <xdr:to>
      <xdr:col>22</xdr:col>
      <xdr:colOff>304799</xdr:colOff>
      <xdr:row>33</xdr:row>
      <xdr:rowOff>261256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/>
      </xdr:nvSpPr>
      <xdr:spPr>
        <a:xfrm>
          <a:off x="8273142" y="1018902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76197</xdr:colOff>
      <xdr:row>35</xdr:row>
      <xdr:rowOff>21772</xdr:rowOff>
    </xdr:from>
    <xdr:to>
      <xdr:col>2</xdr:col>
      <xdr:colOff>297177</xdr:colOff>
      <xdr:row>35</xdr:row>
      <xdr:rowOff>250372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/>
      </xdr:nvSpPr>
      <xdr:spPr>
        <a:xfrm>
          <a:off x="718454" y="10548258"/>
          <a:ext cx="22098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37</xdr:row>
      <xdr:rowOff>21772</xdr:rowOff>
    </xdr:from>
    <xdr:to>
      <xdr:col>4</xdr:col>
      <xdr:colOff>304800</xdr:colOff>
      <xdr:row>37</xdr:row>
      <xdr:rowOff>250372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/>
      </xdr:nvSpPr>
      <xdr:spPr>
        <a:xfrm>
          <a:off x="1447800" y="109183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65316</xdr:colOff>
      <xdr:row>37</xdr:row>
      <xdr:rowOff>21772</xdr:rowOff>
    </xdr:from>
    <xdr:to>
      <xdr:col>10</xdr:col>
      <xdr:colOff>293916</xdr:colOff>
      <xdr:row>37</xdr:row>
      <xdr:rowOff>250372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/>
      </xdr:nvSpPr>
      <xdr:spPr>
        <a:xfrm>
          <a:off x="3831773" y="109183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76201</xdr:colOff>
      <xdr:row>37</xdr:row>
      <xdr:rowOff>21772</xdr:rowOff>
    </xdr:from>
    <xdr:to>
      <xdr:col>22</xdr:col>
      <xdr:colOff>304801</xdr:colOff>
      <xdr:row>37</xdr:row>
      <xdr:rowOff>250372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/>
      </xdr:nvSpPr>
      <xdr:spPr>
        <a:xfrm>
          <a:off x="8273144" y="109183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76202</xdr:colOff>
      <xdr:row>37</xdr:row>
      <xdr:rowOff>21772</xdr:rowOff>
    </xdr:from>
    <xdr:to>
      <xdr:col>28</xdr:col>
      <xdr:colOff>304802</xdr:colOff>
      <xdr:row>37</xdr:row>
      <xdr:rowOff>250372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/>
      </xdr:nvSpPr>
      <xdr:spPr>
        <a:xfrm>
          <a:off x="10363202" y="109183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76202</xdr:colOff>
      <xdr:row>39</xdr:row>
      <xdr:rowOff>21772</xdr:rowOff>
    </xdr:from>
    <xdr:to>
      <xdr:col>4</xdr:col>
      <xdr:colOff>304802</xdr:colOff>
      <xdr:row>39</xdr:row>
      <xdr:rowOff>250372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/>
      </xdr:nvSpPr>
      <xdr:spPr>
        <a:xfrm>
          <a:off x="1447802" y="112884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76202</xdr:colOff>
      <xdr:row>39</xdr:row>
      <xdr:rowOff>21772</xdr:rowOff>
    </xdr:from>
    <xdr:to>
      <xdr:col>22</xdr:col>
      <xdr:colOff>304802</xdr:colOff>
      <xdr:row>39</xdr:row>
      <xdr:rowOff>250372</xdr:rowOff>
    </xdr:to>
    <xdr:sp macro="" textlink="">
      <xdr:nvSpPr>
        <xdr:cNvPr id="90" name="Rectangle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/>
      </xdr:nvSpPr>
      <xdr:spPr>
        <a:xfrm>
          <a:off x="8273145" y="112884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76202</xdr:colOff>
      <xdr:row>41</xdr:row>
      <xdr:rowOff>21772</xdr:rowOff>
    </xdr:from>
    <xdr:to>
      <xdr:col>4</xdr:col>
      <xdr:colOff>304802</xdr:colOff>
      <xdr:row>41</xdr:row>
      <xdr:rowOff>250372</xdr:rowOff>
    </xdr:to>
    <xdr:sp macro="" textlink="">
      <xdr:nvSpPr>
        <xdr:cNvPr id="91" name="Rectangle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/>
      </xdr:nvSpPr>
      <xdr:spPr>
        <a:xfrm>
          <a:off x="1447802" y="116586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76202</xdr:colOff>
      <xdr:row>41</xdr:row>
      <xdr:rowOff>21772</xdr:rowOff>
    </xdr:from>
    <xdr:to>
      <xdr:col>10</xdr:col>
      <xdr:colOff>304802</xdr:colOff>
      <xdr:row>41</xdr:row>
      <xdr:rowOff>250372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/>
      </xdr:nvSpPr>
      <xdr:spPr>
        <a:xfrm>
          <a:off x="3842659" y="116586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76201</xdr:colOff>
      <xdr:row>45</xdr:row>
      <xdr:rowOff>21772</xdr:rowOff>
    </xdr:from>
    <xdr:to>
      <xdr:col>2</xdr:col>
      <xdr:colOff>304801</xdr:colOff>
      <xdr:row>45</xdr:row>
      <xdr:rowOff>250372</xdr:rowOff>
    </xdr:to>
    <xdr:sp macro="" textlink="">
      <xdr:nvSpPr>
        <xdr:cNvPr id="93" name="Rectangle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/>
      </xdr:nvSpPr>
      <xdr:spPr>
        <a:xfrm>
          <a:off x="718458" y="1239882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76202</xdr:colOff>
      <xdr:row>45</xdr:row>
      <xdr:rowOff>21772</xdr:rowOff>
    </xdr:from>
    <xdr:to>
      <xdr:col>8</xdr:col>
      <xdr:colOff>304802</xdr:colOff>
      <xdr:row>45</xdr:row>
      <xdr:rowOff>250372</xdr:rowOff>
    </xdr:to>
    <xdr:sp macro="" textlink="">
      <xdr:nvSpPr>
        <xdr:cNvPr id="94" name="Rectangle 93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/>
      </xdr:nvSpPr>
      <xdr:spPr>
        <a:xfrm>
          <a:off x="3037116" y="1239882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65316</xdr:colOff>
      <xdr:row>45</xdr:row>
      <xdr:rowOff>21772</xdr:rowOff>
    </xdr:from>
    <xdr:to>
      <xdr:col>13</xdr:col>
      <xdr:colOff>293916</xdr:colOff>
      <xdr:row>45</xdr:row>
      <xdr:rowOff>250372</xdr:rowOff>
    </xdr:to>
    <xdr:sp macro="" textlink="">
      <xdr:nvSpPr>
        <xdr:cNvPr id="95" name="Rectangle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/>
      </xdr:nvSpPr>
      <xdr:spPr>
        <a:xfrm>
          <a:off x="5029202" y="1239882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65316</xdr:colOff>
      <xdr:row>45</xdr:row>
      <xdr:rowOff>21772</xdr:rowOff>
    </xdr:from>
    <xdr:to>
      <xdr:col>19</xdr:col>
      <xdr:colOff>293916</xdr:colOff>
      <xdr:row>45</xdr:row>
      <xdr:rowOff>250372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/>
      </xdr:nvSpPr>
      <xdr:spPr>
        <a:xfrm>
          <a:off x="7173687" y="1239882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47</xdr:row>
      <xdr:rowOff>21772</xdr:rowOff>
    </xdr:from>
    <xdr:to>
      <xdr:col>2</xdr:col>
      <xdr:colOff>293916</xdr:colOff>
      <xdr:row>47</xdr:row>
      <xdr:rowOff>250372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/>
      </xdr:nvSpPr>
      <xdr:spPr>
        <a:xfrm>
          <a:off x="707573" y="127689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76201</xdr:colOff>
      <xdr:row>49</xdr:row>
      <xdr:rowOff>21772</xdr:rowOff>
    </xdr:from>
    <xdr:to>
      <xdr:col>5</xdr:col>
      <xdr:colOff>304801</xdr:colOff>
      <xdr:row>49</xdr:row>
      <xdr:rowOff>250372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/>
      </xdr:nvSpPr>
      <xdr:spPr>
        <a:xfrm>
          <a:off x="1828801" y="13139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65316</xdr:colOff>
      <xdr:row>49</xdr:row>
      <xdr:rowOff>21772</xdr:rowOff>
    </xdr:from>
    <xdr:to>
      <xdr:col>10</xdr:col>
      <xdr:colOff>293916</xdr:colOff>
      <xdr:row>49</xdr:row>
      <xdr:rowOff>250372</xdr:rowOff>
    </xdr:to>
    <xdr:sp macro="" textlink="">
      <xdr:nvSpPr>
        <xdr:cNvPr id="99" name="Rectangle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/>
      </xdr:nvSpPr>
      <xdr:spPr>
        <a:xfrm>
          <a:off x="3831773" y="13139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53</xdr:row>
      <xdr:rowOff>21772</xdr:rowOff>
    </xdr:from>
    <xdr:to>
      <xdr:col>2</xdr:col>
      <xdr:colOff>293916</xdr:colOff>
      <xdr:row>53</xdr:row>
      <xdr:rowOff>250372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/>
      </xdr:nvSpPr>
      <xdr:spPr>
        <a:xfrm>
          <a:off x="707573" y="138792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65316</xdr:colOff>
      <xdr:row>53</xdr:row>
      <xdr:rowOff>21772</xdr:rowOff>
    </xdr:from>
    <xdr:to>
      <xdr:col>6</xdr:col>
      <xdr:colOff>293916</xdr:colOff>
      <xdr:row>53</xdr:row>
      <xdr:rowOff>250372</xdr:rowOff>
    </xdr:to>
    <xdr:sp macro="" textlink="">
      <xdr:nvSpPr>
        <xdr:cNvPr id="101" name="Rectangle 10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/>
      </xdr:nvSpPr>
      <xdr:spPr>
        <a:xfrm>
          <a:off x="2264230" y="138792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65316</xdr:colOff>
      <xdr:row>63</xdr:row>
      <xdr:rowOff>21772</xdr:rowOff>
    </xdr:from>
    <xdr:to>
      <xdr:col>27</xdr:col>
      <xdr:colOff>293916</xdr:colOff>
      <xdr:row>63</xdr:row>
      <xdr:rowOff>250372</xdr:rowOff>
    </xdr:to>
    <xdr:sp macro="" textlink="">
      <xdr:nvSpPr>
        <xdr:cNvPr id="102" name="Rectangle 101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/>
      </xdr:nvSpPr>
      <xdr:spPr>
        <a:xfrm>
          <a:off x="10003973" y="164700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65316</xdr:colOff>
      <xdr:row>63</xdr:row>
      <xdr:rowOff>21772</xdr:rowOff>
    </xdr:from>
    <xdr:to>
      <xdr:col>31</xdr:col>
      <xdr:colOff>293916</xdr:colOff>
      <xdr:row>63</xdr:row>
      <xdr:rowOff>250372</xdr:rowOff>
    </xdr:to>
    <xdr:sp macro="" textlink="">
      <xdr:nvSpPr>
        <xdr:cNvPr id="103" name="Rectangle 102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/>
      </xdr:nvSpPr>
      <xdr:spPr>
        <a:xfrm>
          <a:off x="11397345" y="164700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67</xdr:row>
      <xdr:rowOff>21772</xdr:rowOff>
    </xdr:from>
    <xdr:to>
      <xdr:col>2</xdr:col>
      <xdr:colOff>293916</xdr:colOff>
      <xdr:row>67</xdr:row>
      <xdr:rowOff>250372</xdr:rowOff>
    </xdr:to>
    <xdr:sp macro="" textlink="">
      <xdr:nvSpPr>
        <xdr:cNvPr id="104" name="Rectangle 10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SpPr/>
      </xdr:nvSpPr>
      <xdr:spPr>
        <a:xfrm>
          <a:off x="707573" y="174389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65316</xdr:colOff>
      <xdr:row>67</xdr:row>
      <xdr:rowOff>21772</xdr:rowOff>
    </xdr:from>
    <xdr:to>
      <xdr:col>6</xdr:col>
      <xdr:colOff>293916</xdr:colOff>
      <xdr:row>67</xdr:row>
      <xdr:rowOff>250372</xdr:rowOff>
    </xdr:to>
    <xdr:sp macro="" textlink="">
      <xdr:nvSpPr>
        <xdr:cNvPr id="105" name="Rectangle 104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/>
      </xdr:nvSpPr>
      <xdr:spPr>
        <a:xfrm>
          <a:off x="2264230" y="174389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69</xdr:row>
      <xdr:rowOff>21772</xdr:rowOff>
    </xdr:from>
    <xdr:to>
      <xdr:col>2</xdr:col>
      <xdr:colOff>293916</xdr:colOff>
      <xdr:row>69</xdr:row>
      <xdr:rowOff>250372</xdr:rowOff>
    </xdr:to>
    <xdr:sp macro="" textlink="">
      <xdr:nvSpPr>
        <xdr:cNvPr id="106" name="Rectangle 105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/>
      </xdr:nvSpPr>
      <xdr:spPr>
        <a:xfrm>
          <a:off x="707573" y="177981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65316</xdr:colOff>
      <xdr:row>69</xdr:row>
      <xdr:rowOff>21772</xdr:rowOff>
    </xdr:from>
    <xdr:to>
      <xdr:col>11</xdr:col>
      <xdr:colOff>293916</xdr:colOff>
      <xdr:row>69</xdr:row>
      <xdr:rowOff>250372</xdr:rowOff>
    </xdr:to>
    <xdr:sp macro="" textlink="">
      <xdr:nvSpPr>
        <xdr:cNvPr id="107" name="Rectangle 106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/>
      </xdr:nvSpPr>
      <xdr:spPr>
        <a:xfrm>
          <a:off x="4212773" y="177981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65316</xdr:colOff>
      <xdr:row>69</xdr:row>
      <xdr:rowOff>21772</xdr:rowOff>
    </xdr:from>
    <xdr:to>
      <xdr:col>21</xdr:col>
      <xdr:colOff>293916</xdr:colOff>
      <xdr:row>69</xdr:row>
      <xdr:rowOff>250372</xdr:rowOff>
    </xdr:to>
    <xdr:sp macro="" textlink="">
      <xdr:nvSpPr>
        <xdr:cNvPr id="108" name="Rectangle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/>
      </xdr:nvSpPr>
      <xdr:spPr>
        <a:xfrm>
          <a:off x="7913916" y="177981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76198</xdr:colOff>
      <xdr:row>73</xdr:row>
      <xdr:rowOff>21772</xdr:rowOff>
    </xdr:from>
    <xdr:to>
      <xdr:col>11</xdr:col>
      <xdr:colOff>304798</xdr:colOff>
      <xdr:row>73</xdr:row>
      <xdr:rowOff>250372</xdr:rowOff>
    </xdr:to>
    <xdr:sp macro="" textlink="">
      <xdr:nvSpPr>
        <xdr:cNvPr id="109" name="Rectangle 108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/>
      </xdr:nvSpPr>
      <xdr:spPr>
        <a:xfrm>
          <a:off x="4223655" y="187452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76202</xdr:colOff>
      <xdr:row>73</xdr:row>
      <xdr:rowOff>21772</xdr:rowOff>
    </xdr:from>
    <xdr:to>
      <xdr:col>16</xdr:col>
      <xdr:colOff>304802</xdr:colOff>
      <xdr:row>73</xdr:row>
      <xdr:rowOff>250372</xdr:rowOff>
    </xdr:to>
    <xdr:sp macro="" textlink="">
      <xdr:nvSpPr>
        <xdr:cNvPr id="110" name="Rectangle 109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/>
      </xdr:nvSpPr>
      <xdr:spPr>
        <a:xfrm>
          <a:off x="6106888" y="187452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76202</xdr:colOff>
      <xdr:row>75</xdr:row>
      <xdr:rowOff>32658</xdr:rowOff>
    </xdr:from>
    <xdr:to>
      <xdr:col>10</xdr:col>
      <xdr:colOff>304802</xdr:colOff>
      <xdr:row>75</xdr:row>
      <xdr:rowOff>261258</xdr:rowOff>
    </xdr:to>
    <xdr:sp macro="" textlink="">
      <xdr:nvSpPr>
        <xdr:cNvPr id="111" name="Rectangle 11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SpPr/>
      </xdr:nvSpPr>
      <xdr:spPr>
        <a:xfrm>
          <a:off x="3842659" y="191370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76200</xdr:colOff>
      <xdr:row>75</xdr:row>
      <xdr:rowOff>21772</xdr:rowOff>
    </xdr:from>
    <xdr:to>
      <xdr:col>13</xdr:col>
      <xdr:colOff>304800</xdr:colOff>
      <xdr:row>75</xdr:row>
      <xdr:rowOff>250372</xdr:rowOff>
    </xdr:to>
    <xdr:sp macro="" textlink="">
      <xdr:nvSpPr>
        <xdr:cNvPr id="112" name="Rectangle 11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SpPr/>
      </xdr:nvSpPr>
      <xdr:spPr>
        <a:xfrm>
          <a:off x="5040086" y="191262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76202</xdr:colOff>
      <xdr:row>81</xdr:row>
      <xdr:rowOff>21772</xdr:rowOff>
    </xdr:from>
    <xdr:to>
      <xdr:col>2</xdr:col>
      <xdr:colOff>304802</xdr:colOff>
      <xdr:row>81</xdr:row>
      <xdr:rowOff>250372</xdr:rowOff>
    </xdr:to>
    <xdr:sp macro="" textlink="">
      <xdr:nvSpPr>
        <xdr:cNvPr id="113" name="Rectangle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718459" y="205631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76200</xdr:colOff>
      <xdr:row>81</xdr:row>
      <xdr:rowOff>21772</xdr:rowOff>
    </xdr:from>
    <xdr:to>
      <xdr:col>14</xdr:col>
      <xdr:colOff>304800</xdr:colOff>
      <xdr:row>81</xdr:row>
      <xdr:rowOff>250372</xdr:rowOff>
    </xdr:to>
    <xdr:sp macro="" textlink="">
      <xdr:nvSpPr>
        <xdr:cNvPr id="114" name="Rectangle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5388429" y="205631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76202</xdr:colOff>
      <xdr:row>25</xdr:row>
      <xdr:rowOff>43544</xdr:rowOff>
    </xdr:from>
    <xdr:to>
      <xdr:col>2</xdr:col>
      <xdr:colOff>304802</xdr:colOff>
      <xdr:row>25</xdr:row>
      <xdr:rowOff>272144</xdr:rowOff>
    </xdr:to>
    <xdr:sp macro="" textlink="">
      <xdr:nvSpPr>
        <xdr:cNvPr id="115" name="Rectangle 114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SpPr/>
      </xdr:nvSpPr>
      <xdr:spPr>
        <a:xfrm>
          <a:off x="718459" y="81098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301881</xdr:colOff>
      <xdr:row>2</xdr:row>
      <xdr:rowOff>108061</xdr:rowOff>
    </xdr:to>
    <xdr:pic macro="[0]!user">
      <xdr:nvPicPr>
        <xdr:cNvPr id="2" name="Picture 1" descr="New Orion Logo w-drop shadow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253" t="4454" r="12028" b="11920"/>
        <a:stretch/>
      </xdr:blipFill>
      <xdr:spPr bwMode="auto">
        <a:xfrm>
          <a:off x="0" y="0"/>
          <a:ext cx="1292481" cy="1000690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6</xdr:row>
          <xdr:rowOff>28575</xdr:rowOff>
        </xdr:from>
        <xdr:to>
          <xdr:col>12</xdr:col>
          <xdr:colOff>333375</xdr:colOff>
          <xdr:row>6</xdr:row>
          <xdr:rowOff>257175</xdr:rowOff>
        </xdr:to>
        <xdr:sp macro="" textlink="">
          <xdr:nvSpPr>
            <xdr:cNvPr id="8390" name="Check Box 198" hidden="1">
              <a:extLst>
                <a:ext uri="{63B3BB69-23CF-44E3-9099-C40C66FF867C}">
                  <a14:compatExt spid="_x0000_s8390"/>
                </a:ext>
                <a:ext uri="{FF2B5EF4-FFF2-40B4-BE49-F238E27FC236}">
                  <a16:creationId xmlns:a16="http://schemas.microsoft.com/office/drawing/2014/main" id="{00000000-0008-0000-0600-0000C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6</xdr:row>
          <xdr:rowOff>28575</xdr:rowOff>
        </xdr:from>
        <xdr:to>
          <xdr:col>18</xdr:col>
          <xdr:colOff>333375</xdr:colOff>
          <xdr:row>6</xdr:row>
          <xdr:rowOff>257175</xdr:rowOff>
        </xdr:to>
        <xdr:sp macro="" textlink="">
          <xdr:nvSpPr>
            <xdr:cNvPr id="8391" name="Check Box 199" hidden="1">
              <a:extLst>
                <a:ext uri="{63B3BB69-23CF-44E3-9099-C40C66FF867C}">
                  <a14:compatExt spid="_x0000_s8391"/>
                </a:ext>
                <a:ext uri="{FF2B5EF4-FFF2-40B4-BE49-F238E27FC236}">
                  <a16:creationId xmlns:a16="http://schemas.microsoft.com/office/drawing/2014/main" id="{00000000-0008-0000-0600-0000C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161925</xdr:colOff>
          <xdr:row>37</xdr:row>
          <xdr:rowOff>28575</xdr:rowOff>
        </xdr:from>
        <xdr:to>
          <xdr:col>21</xdr:col>
          <xdr:colOff>409575</xdr:colOff>
          <xdr:row>37</xdr:row>
          <xdr:rowOff>257175</xdr:rowOff>
        </xdr:to>
        <xdr:sp macro="" textlink="">
          <xdr:nvSpPr>
            <xdr:cNvPr id="8395" name="Check Box 203" hidden="1">
              <a:extLst>
                <a:ext uri="{63B3BB69-23CF-44E3-9099-C40C66FF867C}">
                  <a14:compatExt spid="_x0000_s8395"/>
                </a:ext>
                <a:ext uri="{FF2B5EF4-FFF2-40B4-BE49-F238E27FC236}">
                  <a16:creationId xmlns:a16="http://schemas.microsoft.com/office/drawing/2014/main" id="{00000000-0008-0000-0600-0000C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37</xdr:row>
          <xdr:rowOff>28575</xdr:rowOff>
        </xdr:from>
        <xdr:to>
          <xdr:col>18</xdr:col>
          <xdr:colOff>333375</xdr:colOff>
          <xdr:row>37</xdr:row>
          <xdr:rowOff>257175</xdr:rowOff>
        </xdr:to>
        <xdr:sp macro="" textlink="">
          <xdr:nvSpPr>
            <xdr:cNvPr id="8396" name="Check Box 204" hidden="1">
              <a:extLst>
                <a:ext uri="{63B3BB69-23CF-44E3-9099-C40C66FF867C}">
                  <a14:compatExt spid="_x0000_s8396"/>
                </a:ext>
                <a:ext uri="{FF2B5EF4-FFF2-40B4-BE49-F238E27FC236}">
                  <a16:creationId xmlns:a16="http://schemas.microsoft.com/office/drawing/2014/main" id="{00000000-0008-0000-0600-0000C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39</xdr:row>
          <xdr:rowOff>28575</xdr:rowOff>
        </xdr:from>
        <xdr:to>
          <xdr:col>15</xdr:col>
          <xdr:colOff>333375</xdr:colOff>
          <xdr:row>39</xdr:row>
          <xdr:rowOff>257175</xdr:rowOff>
        </xdr:to>
        <xdr:sp macro="" textlink="">
          <xdr:nvSpPr>
            <xdr:cNvPr id="8397" name="Check Box 205" hidden="1">
              <a:extLst>
                <a:ext uri="{63B3BB69-23CF-44E3-9099-C40C66FF867C}">
                  <a14:compatExt spid="_x0000_s8397"/>
                </a:ext>
                <a:ext uri="{FF2B5EF4-FFF2-40B4-BE49-F238E27FC236}">
                  <a16:creationId xmlns:a16="http://schemas.microsoft.com/office/drawing/2014/main" id="{00000000-0008-0000-0600-0000C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39</xdr:row>
          <xdr:rowOff>28575</xdr:rowOff>
        </xdr:from>
        <xdr:to>
          <xdr:col>18</xdr:col>
          <xdr:colOff>333375</xdr:colOff>
          <xdr:row>39</xdr:row>
          <xdr:rowOff>257175</xdr:rowOff>
        </xdr:to>
        <xdr:sp macro="" textlink="">
          <xdr:nvSpPr>
            <xdr:cNvPr id="8398" name="Check Box 206" hidden="1">
              <a:extLst>
                <a:ext uri="{63B3BB69-23CF-44E3-9099-C40C66FF867C}">
                  <a14:compatExt spid="_x0000_s8398"/>
                </a:ext>
                <a:ext uri="{FF2B5EF4-FFF2-40B4-BE49-F238E27FC236}">
                  <a16:creationId xmlns:a16="http://schemas.microsoft.com/office/drawing/2014/main" id="{00000000-0008-0000-0600-0000C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40</xdr:row>
          <xdr:rowOff>28575</xdr:rowOff>
        </xdr:from>
        <xdr:to>
          <xdr:col>13</xdr:col>
          <xdr:colOff>333375</xdr:colOff>
          <xdr:row>40</xdr:row>
          <xdr:rowOff>257175</xdr:rowOff>
        </xdr:to>
        <xdr:sp macro="" textlink="">
          <xdr:nvSpPr>
            <xdr:cNvPr id="8399" name="Check Box 207" hidden="1">
              <a:extLst>
                <a:ext uri="{63B3BB69-23CF-44E3-9099-C40C66FF867C}">
                  <a14:compatExt spid="_x0000_s8399"/>
                </a:ext>
                <a:ext uri="{FF2B5EF4-FFF2-40B4-BE49-F238E27FC236}">
                  <a16:creationId xmlns:a16="http://schemas.microsoft.com/office/drawing/2014/main" id="{00000000-0008-0000-0600-0000C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40</xdr:row>
          <xdr:rowOff>28575</xdr:rowOff>
        </xdr:from>
        <xdr:to>
          <xdr:col>10</xdr:col>
          <xdr:colOff>333375</xdr:colOff>
          <xdr:row>40</xdr:row>
          <xdr:rowOff>257175</xdr:rowOff>
        </xdr:to>
        <xdr:sp macro="" textlink="">
          <xdr:nvSpPr>
            <xdr:cNvPr id="8400" name="Check Box 208" hidden="1">
              <a:extLst>
                <a:ext uri="{63B3BB69-23CF-44E3-9099-C40C66FF867C}">
                  <a14:compatExt spid="_x0000_s8400"/>
                </a:ext>
                <a:ext uri="{FF2B5EF4-FFF2-40B4-BE49-F238E27FC236}">
                  <a16:creationId xmlns:a16="http://schemas.microsoft.com/office/drawing/2014/main" id="{00000000-0008-0000-0600-0000D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42</xdr:row>
          <xdr:rowOff>28575</xdr:rowOff>
        </xdr:from>
        <xdr:to>
          <xdr:col>8</xdr:col>
          <xdr:colOff>333375</xdr:colOff>
          <xdr:row>42</xdr:row>
          <xdr:rowOff>257175</xdr:rowOff>
        </xdr:to>
        <xdr:sp macro="" textlink="">
          <xdr:nvSpPr>
            <xdr:cNvPr id="8401" name="Check Box 209" hidden="1">
              <a:extLst>
                <a:ext uri="{63B3BB69-23CF-44E3-9099-C40C66FF867C}">
                  <a14:compatExt spid="_x0000_s8401"/>
                </a:ext>
                <a:ext uri="{FF2B5EF4-FFF2-40B4-BE49-F238E27FC236}">
                  <a16:creationId xmlns:a16="http://schemas.microsoft.com/office/drawing/2014/main" id="{00000000-0008-0000-0600-0000D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44</xdr:row>
          <xdr:rowOff>28575</xdr:rowOff>
        </xdr:from>
        <xdr:to>
          <xdr:col>8</xdr:col>
          <xdr:colOff>333375</xdr:colOff>
          <xdr:row>44</xdr:row>
          <xdr:rowOff>257175</xdr:rowOff>
        </xdr:to>
        <xdr:sp macro="" textlink="">
          <xdr:nvSpPr>
            <xdr:cNvPr id="8402" name="Check Box 210" hidden="1">
              <a:extLst>
                <a:ext uri="{63B3BB69-23CF-44E3-9099-C40C66FF867C}">
                  <a14:compatExt spid="_x0000_s8402"/>
                </a:ext>
                <a:ext uri="{FF2B5EF4-FFF2-40B4-BE49-F238E27FC236}">
                  <a16:creationId xmlns:a16="http://schemas.microsoft.com/office/drawing/2014/main" id="{00000000-0008-0000-0600-0000D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42</xdr:row>
          <xdr:rowOff>28575</xdr:rowOff>
        </xdr:from>
        <xdr:to>
          <xdr:col>12</xdr:col>
          <xdr:colOff>333375</xdr:colOff>
          <xdr:row>42</xdr:row>
          <xdr:rowOff>257175</xdr:rowOff>
        </xdr:to>
        <xdr:sp macro="" textlink="">
          <xdr:nvSpPr>
            <xdr:cNvPr id="8403" name="Check Box 211" hidden="1">
              <a:extLst>
                <a:ext uri="{63B3BB69-23CF-44E3-9099-C40C66FF867C}">
                  <a14:compatExt spid="_x0000_s8403"/>
                </a:ext>
                <a:ext uri="{FF2B5EF4-FFF2-40B4-BE49-F238E27FC236}">
                  <a16:creationId xmlns:a16="http://schemas.microsoft.com/office/drawing/2014/main" id="{00000000-0008-0000-0600-0000D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42</xdr:row>
          <xdr:rowOff>28575</xdr:rowOff>
        </xdr:from>
        <xdr:to>
          <xdr:col>17</xdr:col>
          <xdr:colOff>333375</xdr:colOff>
          <xdr:row>42</xdr:row>
          <xdr:rowOff>257175</xdr:rowOff>
        </xdr:to>
        <xdr:sp macro="" textlink="">
          <xdr:nvSpPr>
            <xdr:cNvPr id="8404" name="Check Box 212" hidden="1">
              <a:extLst>
                <a:ext uri="{63B3BB69-23CF-44E3-9099-C40C66FF867C}">
                  <a14:compatExt spid="_x0000_s8404"/>
                </a:ext>
                <a:ext uri="{FF2B5EF4-FFF2-40B4-BE49-F238E27FC236}">
                  <a16:creationId xmlns:a16="http://schemas.microsoft.com/office/drawing/2014/main" id="{00000000-0008-0000-0600-0000D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44</xdr:row>
          <xdr:rowOff>28575</xdr:rowOff>
        </xdr:from>
        <xdr:to>
          <xdr:col>14</xdr:col>
          <xdr:colOff>333375</xdr:colOff>
          <xdr:row>44</xdr:row>
          <xdr:rowOff>257175</xdr:rowOff>
        </xdr:to>
        <xdr:sp macro="" textlink="">
          <xdr:nvSpPr>
            <xdr:cNvPr id="8405" name="Check Box 213" hidden="1">
              <a:extLst>
                <a:ext uri="{63B3BB69-23CF-44E3-9099-C40C66FF867C}">
                  <a14:compatExt spid="_x0000_s8405"/>
                </a:ext>
                <a:ext uri="{FF2B5EF4-FFF2-40B4-BE49-F238E27FC236}">
                  <a16:creationId xmlns:a16="http://schemas.microsoft.com/office/drawing/2014/main" id="{00000000-0008-0000-0600-0000D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44</xdr:row>
          <xdr:rowOff>28575</xdr:rowOff>
        </xdr:from>
        <xdr:to>
          <xdr:col>17</xdr:col>
          <xdr:colOff>333375</xdr:colOff>
          <xdr:row>44</xdr:row>
          <xdr:rowOff>257175</xdr:rowOff>
        </xdr:to>
        <xdr:sp macro="" textlink="">
          <xdr:nvSpPr>
            <xdr:cNvPr id="8406" name="Check Box 214" hidden="1">
              <a:extLst>
                <a:ext uri="{63B3BB69-23CF-44E3-9099-C40C66FF867C}">
                  <a14:compatExt spid="_x0000_s8406"/>
                </a:ext>
                <a:ext uri="{FF2B5EF4-FFF2-40B4-BE49-F238E27FC236}">
                  <a16:creationId xmlns:a16="http://schemas.microsoft.com/office/drawing/2014/main" id="{00000000-0008-0000-0600-0000D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85725</xdr:colOff>
          <xdr:row>42</xdr:row>
          <xdr:rowOff>28575</xdr:rowOff>
        </xdr:from>
        <xdr:to>
          <xdr:col>20</xdr:col>
          <xdr:colOff>333375</xdr:colOff>
          <xdr:row>42</xdr:row>
          <xdr:rowOff>257175</xdr:rowOff>
        </xdr:to>
        <xdr:sp macro="" textlink="">
          <xdr:nvSpPr>
            <xdr:cNvPr id="8407" name="Check Box 215" hidden="1">
              <a:extLst>
                <a:ext uri="{63B3BB69-23CF-44E3-9099-C40C66FF867C}">
                  <a14:compatExt spid="_x0000_s8407"/>
                </a:ext>
                <a:ext uri="{FF2B5EF4-FFF2-40B4-BE49-F238E27FC236}">
                  <a16:creationId xmlns:a16="http://schemas.microsoft.com/office/drawing/2014/main" id="{00000000-0008-0000-0600-0000D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85725</xdr:colOff>
          <xdr:row>44</xdr:row>
          <xdr:rowOff>28575</xdr:rowOff>
        </xdr:from>
        <xdr:to>
          <xdr:col>24</xdr:col>
          <xdr:colOff>333375</xdr:colOff>
          <xdr:row>44</xdr:row>
          <xdr:rowOff>257175</xdr:rowOff>
        </xdr:to>
        <xdr:sp macro="" textlink="">
          <xdr:nvSpPr>
            <xdr:cNvPr id="8408" name="Check Box 216" hidden="1">
              <a:extLst>
                <a:ext uri="{63B3BB69-23CF-44E3-9099-C40C66FF867C}">
                  <a14:compatExt spid="_x0000_s8408"/>
                </a:ext>
                <a:ext uri="{FF2B5EF4-FFF2-40B4-BE49-F238E27FC236}">
                  <a16:creationId xmlns:a16="http://schemas.microsoft.com/office/drawing/2014/main" id="{00000000-0008-0000-0600-0000D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85725</xdr:colOff>
          <xdr:row>42</xdr:row>
          <xdr:rowOff>28575</xdr:rowOff>
        </xdr:from>
        <xdr:to>
          <xdr:col>28</xdr:col>
          <xdr:colOff>333375</xdr:colOff>
          <xdr:row>42</xdr:row>
          <xdr:rowOff>257175</xdr:rowOff>
        </xdr:to>
        <xdr:sp macro="" textlink="">
          <xdr:nvSpPr>
            <xdr:cNvPr id="8409" name="Check Box 217" hidden="1">
              <a:extLst>
                <a:ext uri="{63B3BB69-23CF-44E3-9099-C40C66FF867C}">
                  <a14:compatExt spid="_x0000_s8409"/>
                </a:ext>
                <a:ext uri="{FF2B5EF4-FFF2-40B4-BE49-F238E27FC236}">
                  <a16:creationId xmlns:a16="http://schemas.microsoft.com/office/drawing/2014/main" id="{00000000-0008-0000-0600-0000D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47625</xdr:colOff>
          <xdr:row>42</xdr:row>
          <xdr:rowOff>28575</xdr:rowOff>
        </xdr:from>
        <xdr:to>
          <xdr:col>33</xdr:col>
          <xdr:colOff>28575</xdr:colOff>
          <xdr:row>42</xdr:row>
          <xdr:rowOff>257175</xdr:rowOff>
        </xdr:to>
        <xdr:sp macro="" textlink="">
          <xdr:nvSpPr>
            <xdr:cNvPr id="8410" name="Check Box 218" hidden="1">
              <a:extLst>
                <a:ext uri="{63B3BB69-23CF-44E3-9099-C40C66FF867C}">
                  <a14:compatExt spid="_x0000_s8410"/>
                </a:ext>
                <a:ext uri="{FF2B5EF4-FFF2-40B4-BE49-F238E27FC236}">
                  <a16:creationId xmlns:a16="http://schemas.microsoft.com/office/drawing/2014/main" id="{00000000-0008-0000-0600-0000D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142875</xdr:colOff>
          <xdr:row>49</xdr:row>
          <xdr:rowOff>28575</xdr:rowOff>
        </xdr:from>
        <xdr:to>
          <xdr:col>10</xdr:col>
          <xdr:colOff>390525</xdr:colOff>
          <xdr:row>49</xdr:row>
          <xdr:rowOff>257175</xdr:rowOff>
        </xdr:to>
        <xdr:sp macro="" textlink="">
          <xdr:nvSpPr>
            <xdr:cNvPr id="8411" name="Check Box 219" hidden="1">
              <a:extLst>
                <a:ext uri="{63B3BB69-23CF-44E3-9099-C40C66FF867C}">
                  <a14:compatExt spid="_x0000_s8411"/>
                </a:ext>
                <a:ext uri="{FF2B5EF4-FFF2-40B4-BE49-F238E27FC236}">
                  <a16:creationId xmlns:a16="http://schemas.microsoft.com/office/drawing/2014/main" id="{00000000-0008-0000-0600-0000D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49</xdr:row>
          <xdr:rowOff>28575</xdr:rowOff>
        </xdr:from>
        <xdr:to>
          <xdr:col>14</xdr:col>
          <xdr:colOff>333375</xdr:colOff>
          <xdr:row>49</xdr:row>
          <xdr:rowOff>257175</xdr:rowOff>
        </xdr:to>
        <xdr:sp macro="" textlink="">
          <xdr:nvSpPr>
            <xdr:cNvPr id="8412" name="Check Box 220" hidden="1">
              <a:extLst>
                <a:ext uri="{63B3BB69-23CF-44E3-9099-C40C66FF867C}">
                  <a14:compatExt spid="_x0000_s8412"/>
                </a:ext>
                <a:ext uri="{FF2B5EF4-FFF2-40B4-BE49-F238E27FC236}">
                  <a16:creationId xmlns:a16="http://schemas.microsoft.com/office/drawing/2014/main" id="{00000000-0008-0000-0600-0000D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49</xdr:row>
          <xdr:rowOff>28575</xdr:rowOff>
        </xdr:from>
        <xdr:to>
          <xdr:col>19</xdr:col>
          <xdr:colOff>333375</xdr:colOff>
          <xdr:row>49</xdr:row>
          <xdr:rowOff>257175</xdr:rowOff>
        </xdr:to>
        <xdr:sp macro="" textlink="">
          <xdr:nvSpPr>
            <xdr:cNvPr id="8413" name="Check Box 221" hidden="1">
              <a:extLst>
                <a:ext uri="{63B3BB69-23CF-44E3-9099-C40C66FF867C}">
                  <a14:compatExt spid="_x0000_s8413"/>
                </a:ext>
                <a:ext uri="{FF2B5EF4-FFF2-40B4-BE49-F238E27FC236}">
                  <a16:creationId xmlns:a16="http://schemas.microsoft.com/office/drawing/2014/main" id="{00000000-0008-0000-0600-0000D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85725</xdr:colOff>
          <xdr:row>49</xdr:row>
          <xdr:rowOff>28575</xdr:rowOff>
        </xdr:from>
        <xdr:to>
          <xdr:col>23</xdr:col>
          <xdr:colOff>333375</xdr:colOff>
          <xdr:row>49</xdr:row>
          <xdr:rowOff>257175</xdr:rowOff>
        </xdr:to>
        <xdr:sp macro="" textlink="">
          <xdr:nvSpPr>
            <xdr:cNvPr id="8414" name="Check Box 222" hidden="1">
              <a:extLst>
                <a:ext uri="{63B3BB69-23CF-44E3-9099-C40C66FF867C}">
                  <a14:compatExt spid="_x0000_s8414"/>
                </a:ext>
                <a:ext uri="{FF2B5EF4-FFF2-40B4-BE49-F238E27FC236}">
                  <a16:creationId xmlns:a16="http://schemas.microsoft.com/office/drawing/2014/main" id="{00000000-0008-0000-0600-0000D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49</xdr:row>
          <xdr:rowOff>28575</xdr:rowOff>
        </xdr:from>
        <xdr:to>
          <xdr:col>27</xdr:col>
          <xdr:colOff>333375</xdr:colOff>
          <xdr:row>49</xdr:row>
          <xdr:rowOff>257175</xdr:rowOff>
        </xdr:to>
        <xdr:sp macro="" textlink="">
          <xdr:nvSpPr>
            <xdr:cNvPr id="8415" name="Check Box 223" hidden="1">
              <a:extLst>
                <a:ext uri="{63B3BB69-23CF-44E3-9099-C40C66FF867C}">
                  <a14:compatExt spid="_x0000_s8415"/>
                </a:ext>
                <a:ext uri="{FF2B5EF4-FFF2-40B4-BE49-F238E27FC236}">
                  <a16:creationId xmlns:a16="http://schemas.microsoft.com/office/drawing/2014/main" id="{00000000-0008-0000-0600-0000D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85725</xdr:colOff>
          <xdr:row>49</xdr:row>
          <xdr:rowOff>28575</xdr:rowOff>
        </xdr:from>
        <xdr:to>
          <xdr:col>30</xdr:col>
          <xdr:colOff>333375</xdr:colOff>
          <xdr:row>49</xdr:row>
          <xdr:rowOff>257175</xdr:rowOff>
        </xdr:to>
        <xdr:sp macro="" textlink="">
          <xdr:nvSpPr>
            <xdr:cNvPr id="8416" name="Check Box 224" hidden="1">
              <a:extLst>
                <a:ext uri="{63B3BB69-23CF-44E3-9099-C40C66FF867C}">
                  <a14:compatExt spid="_x0000_s8416"/>
                </a:ext>
                <a:ext uri="{FF2B5EF4-FFF2-40B4-BE49-F238E27FC236}">
                  <a16:creationId xmlns:a16="http://schemas.microsoft.com/office/drawing/2014/main" id="{00000000-0008-0000-0600-0000E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85725</xdr:colOff>
          <xdr:row>49</xdr:row>
          <xdr:rowOff>28575</xdr:rowOff>
        </xdr:from>
        <xdr:to>
          <xdr:col>34</xdr:col>
          <xdr:colOff>333375</xdr:colOff>
          <xdr:row>49</xdr:row>
          <xdr:rowOff>257175</xdr:rowOff>
        </xdr:to>
        <xdr:sp macro="" textlink="">
          <xdr:nvSpPr>
            <xdr:cNvPr id="8417" name="Check Box 225" hidden="1">
              <a:extLst>
                <a:ext uri="{63B3BB69-23CF-44E3-9099-C40C66FF867C}">
                  <a14:compatExt spid="_x0000_s8417"/>
                </a:ext>
                <a:ext uri="{FF2B5EF4-FFF2-40B4-BE49-F238E27FC236}">
                  <a16:creationId xmlns:a16="http://schemas.microsoft.com/office/drawing/2014/main" id="{00000000-0008-0000-0600-0000E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50</xdr:row>
          <xdr:rowOff>28575</xdr:rowOff>
        </xdr:from>
        <xdr:to>
          <xdr:col>5</xdr:col>
          <xdr:colOff>333375</xdr:colOff>
          <xdr:row>50</xdr:row>
          <xdr:rowOff>257175</xdr:rowOff>
        </xdr:to>
        <xdr:sp macro="" textlink="">
          <xdr:nvSpPr>
            <xdr:cNvPr id="8418" name="Check Box 226" hidden="1">
              <a:extLst>
                <a:ext uri="{63B3BB69-23CF-44E3-9099-C40C66FF867C}">
                  <a14:compatExt spid="_x0000_s8418"/>
                </a:ext>
                <a:ext uri="{FF2B5EF4-FFF2-40B4-BE49-F238E27FC236}">
                  <a16:creationId xmlns:a16="http://schemas.microsoft.com/office/drawing/2014/main" id="{00000000-0008-0000-0600-0000E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54</xdr:row>
          <xdr:rowOff>28575</xdr:rowOff>
        </xdr:from>
        <xdr:to>
          <xdr:col>11</xdr:col>
          <xdr:colOff>333375</xdr:colOff>
          <xdr:row>54</xdr:row>
          <xdr:rowOff>257175</xdr:rowOff>
        </xdr:to>
        <xdr:sp macro="" textlink="">
          <xdr:nvSpPr>
            <xdr:cNvPr id="8419" name="Check Box 227" hidden="1">
              <a:extLst>
                <a:ext uri="{63B3BB69-23CF-44E3-9099-C40C66FF867C}">
                  <a14:compatExt spid="_x0000_s8419"/>
                </a:ext>
                <a:ext uri="{FF2B5EF4-FFF2-40B4-BE49-F238E27FC236}">
                  <a16:creationId xmlns:a16="http://schemas.microsoft.com/office/drawing/2014/main" id="{00000000-0008-0000-0600-0000E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54</xdr:row>
          <xdr:rowOff>28575</xdr:rowOff>
        </xdr:from>
        <xdr:to>
          <xdr:col>18</xdr:col>
          <xdr:colOff>333375</xdr:colOff>
          <xdr:row>54</xdr:row>
          <xdr:rowOff>257175</xdr:rowOff>
        </xdr:to>
        <xdr:sp macro="" textlink="">
          <xdr:nvSpPr>
            <xdr:cNvPr id="8420" name="Check Box 228" hidden="1">
              <a:extLst>
                <a:ext uri="{63B3BB69-23CF-44E3-9099-C40C66FF867C}">
                  <a14:compatExt spid="_x0000_s8420"/>
                </a:ext>
                <a:ext uri="{FF2B5EF4-FFF2-40B4-BE49-F238E27FC236}">
                  <a16:creationId xmlns:a16="http://schemas.microsoft.com/office/drawing/2014/main" id="{00000000-0008-0000-0600-0000E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55</xdr:row>
          <xdr:rowOff>28575</xdr:rowOff>
        </xdr:from>
        <xdr:to>
          <xdr:col>13</xdr:col>
          <xdr:colOff>333375</xdr:colOff>
          <xdr:row>55</xdr:row>
          <xdr:rowOff>257175</xdr:rowOff>
        </xdr:to>
        <xdr:sp macro="" textlink="">
          <xdr:nvSpPr>
            <xdr:cNvPr id="8421" name="Check Box 229" hidden="1">
              <a:extLst>
                <a:ext uri="{63B3BB69-23CF-44E3-9099-C40C66FF867C}">
                  <a14:compatExt spid="_x0000_s8421"/>
                </a:ext>
                <a:ext uri="{FF2B5EF4-FFF2-40B4-BE49-F238E27FC236}">
                  <a16:creationId xmlns:a16="http://schemas.microsoft.com/office/drawing/2014/main" id="{00000000-0008-0000-0600-0000E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85725</xdr:colOff>
          <xdr:row>54</xdr:row>
          <xdr:rowOff>28575</xdr:rowOff>
        </xdr:from>
        <xdr:to>
          <xdr:col>25</xdr:col>
          <xdr:colOff>333375</xdr:colOff>
          <xdr:row>54</xdr:row>
          <xdr:rowOff>257175</xdr:rowOff>
        </xdr:to>
        <xdr:sp macro="" textlink="">
          <xdr:nvSpPr>
            <xdr:cNvPr id="8422" name="Check Box 230" hidden="1">
              <a:extLst>
                <a:ext uri="{63B3BB69-23CF-44E3-9099-C40C66FF867C}">
                  <a14:compatExt spid="_x0000_s8422"/>
                </a:ext>
                <a:ext uri="{FF2B5EF4-FFF2-40B4-BE49-F238E27FC236}">
                  <a16:creationId xmlns:a16="http://schemas.microsoft.com/office/drawing/2014/main" id="{00000000-0008-0000-0600-0000E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85725</xdr:colOff>
          <xdr:row>55</xdr:row>
          <xdr:rowOff>28575</xdr:rowOff>
        </xdr:from>
        <xdr:to>
          <xdr:col>20</xdr:col>
          <xdr:colOff>333375</xdr:colOff>
          <xdr:row>55</xdr:row>
          <xdr:rowOff>257175</xdr:rowOff>
        </xdr:to>
        <xdr:sp macro="" textlink="">
          <xdr:nvSpPr>
            <xdr:cNvPr id="8423" name="Check Box 231" hidden="1">
              <a:extLst>
                <a:ext uri="{63B3BB69-23CF-44E3-9099-C40C66FF867C}">
                  <a14:compatExt spid="_x0000_s8423"/>
                </a:ext>
                <a:ext uri="{FF2B5EF4-FFF2-40B4-BE49-F238E27FC236}">
                  <a16:creationId xmlns:a16="http://schemas.microsoft.com/office/drawing/2014/main" id="{00000000-0008-0000-0600-0000E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55</xdr:row>
          <xdr:rowOff>28575</xdr:rowOff>
        </xdr:from>
        <xdr:to>
          <xdr:col>27</xdr:col>
          <xdr:colOff>333375</xdr:colOff>
          <xdr:row>55</xdr:row>
          <xdr:rowOff>257175</xdr:rowOff>
        </xdr:to>
        <xdr:sp macro="" textlink="">
          <xdr:nvSpPr>
            <xdr:cNvPr id="8424" name="Check Box 232" hidden="1">
              <a:extLst>
                <a:ext uri="{63B3BB69-23CF-44E3-9099-C40C66FF867C}">
                  <a14:compatExt spid="_x0000_s8424"/>
                </a:ext>
                <a:ext uri="{FF2B5EF4-FFF2-40B4-BE49-F238E27FC236}">
                  <a16:creationId xmlns:a16="http://schemas.microsoft.com/office/drawing/2014/main" id="{00000000-0008-0000-0600-0000E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85725</xdr:colOff>
          <xdr:row>57</xdr:row>
          <xdr:rowOff>28575</xdr:rowOff>
        </xdr:from>
        <xdr:to>
          <xdr:col>33</xdr:col>
          <xdr:colOff>333375</xdr:colOff>
          <xdr:row>57</xdr:row>
          <xdr:rowOff>257175</xdr:rowOff>
        </xdr:to>
        <xdr:sp macro="" textlink="">
          <xdr:nvSpPr>
            <xdr:cNvPr id="8425" name="Check Box 233" hidden="1">
              <a:extLst>
                <a:ext uri="{63B3BB69-23CF-44E3-9099-C40C66FF867C}">
                  <a14:compatExt spid="_x0000_s8425"/>
                </a:ext>
                <a:ext uri="{FF2B5EF4-FFF2-40B4-BE49-F238E27FC236}">
                  <a16:creationId xmlns:a16="http://schemas.microsoft.com/office/drawing/2014/main" id="{00000000-0008-0000-0600-0000E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85725</xdr:colOff>
          <xdr:row>57</xdr:row>
          <xdr:rowOff>28575</xdr:rowOff>
        </xdr:from>
        <xdr:to>
          <xdr:col>26</xdr:col>
          <xdr:colOff>333375</xdr:colOff>
          <xdr:row>57</xdr:row>
          <xdr:rowOff>257175</xdr:rowOff>
        </xdr:to>
        <xdr:sp macro="" textlink="">
          <xdr:nvSpPr>
            <xdr:cNvPr id="8426" name="Check Box 234" hidden="1">
              <a:extLst>
                <a:ext uri="{63B3BB69-23CF-44E3-9099-C40C66FF867C}">
                  <a14:compatExt spid="_x0000_s8426"/>
                </a:ext>
                <a:ext uri="{FF2B5EF4-FFF2-40B4-BE49-F238E27FC236}">
                  <a16:creationId xmlns:a16="http://schemas.microsoft.com/office/drawing/2014/main" id="{00000000-0008-0000-0600-0000E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57</xdr:row>
          <xdr:rowOff>28575</xdr:rowOff>
        </xdr:from>
        <xdr:to>
          <xdr:col>19</xdr:col>
          <xdr:colOff>333375</xdr:colOff>
          <xdr:row>57</xdr:row>
          <xdr:rowOff>257175</xdr:rowOff>
        </xdr:to>
        <xdr:sp macro="" textlink="">
          <xdr:nvSpPr>
            <xdr:cNvPr id="8427" name="Check Box 235" hidden="1">
              <a:extLst>
                <a:ext uri="{63B3BB69-23CF-44E3-9099-C40C66FF867C}">
                  <a14:compatExt spid="_x0000_s8427"/>
                </a:ext>
                <a:ext uri="{FF2B5EF4-FFF2-40B4-BE49-F238E27FC236}">
                  <a16:creationId xmlns:a16="http://schemas.microsoft.com/office/drawing/2014/main" id="{00000000-0008-0000-0600-0000E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59</xdr:row>
          <xdr:rowOff>28575</xdr:rowOff>
        </xdr:from>
        <xdr:to>
          <xdr:col>13</xdr:col>
          <xdr:colOff>333375</xdr:colOff>
          <xdr:row>59</xdr:row>
          <xdr:rowOff>257175</xdr:rowOff>
        </xdr:to>
        <xdr:sp macro="" textlink="">
          <xdr:nvSpPr>
            <xdr:cNvPr id="8428" name="Check Box 236" hidden="1">
              <a:extLst>
                <a:ext uri="{63B3BB69-23CF-44E3-9099-C40C66FF867C}">
                  <a14:compatExt spid="_x0000_s8428"/>
                </a:ext>
                <a:ext uri="{FF2B5EF4-FFF2-40B4-BE49-F238E27FC236}">
                  <a16:creationId xmlns:a16="http://schemas.microsoft.com/office/drawing/2014/main" id="{00000000-0008-0000-0600-0000E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60</xdr:row>
          <xdr:rowOff>28575</xdr:rowOff>
        </xdr:from>
        <xdr:to>
          <xdr:col>11</xdr:col>
          <xdr:colOff>381000</xdr:colOff>
          <xdr:row>60</xdr:row>
          <xdr:rowOff>257175</xdr:rowOff>
        </xdr:to>
        <xdr:sp macro="" textlink="">
          <xdr:nvSpPr>
            <xdr:cNvPr id="8429" name="Check Box 237" hidden="1">
              <a:extLst>
                <a:ext uri="{63B3BB69-23CF-44E3-9099-C40C66FF867C}">
                  <a14:compatExt spid="_x0000_s8429"/>
                </a:ext>
                <a:ext uri="{FF2B5EF4-FFF2-40B4-BE49-F238E27FC236}">
                  <a16:creationId xmlns:a16="http://schemas.microsoft.com/office/drawing/2014/main" id="{00000000-0008-0000-0600-0000E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61</xdr:row>
          <xdr:rowOff>28575</xdr:rowOff>
        </xdr:from>
        <xdr:to>
          <xdr:col>16</xdr:col>
          <xdr:colOff>333375</xdr:colOff>
          <xdr:row>61</xdr:row>
          <xdr:rowOff>257175</xdr:rowOff>
        </xdr:to>
        <xdr:sp macro="" textlink="">
          <xdr:nvSpPr>
            <xdr:cNvPr id="8431" name="Check Box 239" hidden="1">
              <a:extLst>
                <a:ext uri="{63B3BB69-23CF-44E3-9099-C40C66FF867C}">
                  <a14:compatExt spid="_x0000_s8431"/>
                </a:ext>
                <a:ext uri="{FF2B5EF4-FFF2-40B4-BE49-F238E27FC236}">
                  <a16:creationId xmlns:a16="http://schemas.microsoft.com/office/drawing/2014/main" id="{00000000-0008-0000-0600-0000E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60</xdr:row>
          <xdr:rowOff>28575</xdr:rowOff>
        </xdr:from>
        <xdr:to>
          <xdr:col>18</xdr:col>
          <xdr:colOff>333375</xdr:colOff>
          <xdr:row>60</xdr:row>
          <xdr:rowOff>257175</xdr:rowOff>
        </xdr:to>
        <xdr:sp macro="" textlink="">
          <xdr:nvSpPr>
            <xdr:cNvPr id="8433" name="Check Box 241" hidden="1">
              <a:extLst>
                <a:ext uri="{63B3BB69-23CF-44E3-9099-C40C66FF867C}">
                  <a14:compatExt spid="_x0000_s8433"/>
                </a:ext>
                <a:ext uri="{FF2B5EF4-FFF2-40B4-BE49-F238E27FC236}">
                  <a16:creationId xmlns:a16="http://schemas.microsoft.com/office/drawing/2014/main" id="{00000000-0008-0000-0600-0000F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85725</xdr:colOff>
          <xdr:row>59</xdr:row>
          <xdr:rowOff>28575</xdr:rowOff>
        </xdr:from>
        <xdr:to>
          <xdr:col>20</xdr:col>
          <xdr:colOff>333375</xdr:colOff>
          <xdr:row>59</xdr:row>
          <xdr:rowOff>257175</xdr:rowOff>
        </xdr:to>
        <xdr:sp macro="" textlink="">
          <xdr:nvSpPr>
            <xdr:cNvPr id="8434" name="Check Box 242" hidden="1">
              <a:extLst>
                <a:ext uri="{63B3BB69-23CF-44E3-9099-C40C66FF867C}">
                  <a14:compatExt spid="_x0000_s8434"/>
                </a:ext>
                <a:ext uri="{FF2B5EF4-FFF2-40B4-BE49-F238E27FC236}">
                  <a16:creationId xmlns:a16="http://schemas.microsoft.com/office/drawing/2014/main" id="{00000000-0008-0000-0600-0000F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85725</xdr:colOff>
          <xdr:row>61</xdr:row>
          <xdr:rowOff>28575</xdr:rowOff>
        </xdr:from>
        <xdr:to>
          <xdr:col>23</xdr:col>
          <xdr:colOff>333375</xdr:colOff>
          <xdr:row>61</xdr:row>
          <xdr:rowOff>257175</xdr:rowOff>
        </xdr:to>
        <xdr:sp macro="" textlink="">
          <xdr:nvSpPr>
            <xdr:cNvPr id="8436" name="Check Box 244" hidden="1">
              <a:extLst>
                <a:ext uri="{63B3BB69-23CF-44E3-9099-C40C66FF867C}">
                  <a14:compatExt spid="_x0000_s8436"/>
                </a:ext>
                <a:ext uri="{FF2B5EF4-FFF2-40B4-BE49-F238E27FC236}">
                  <a16:creationId xmlns:a16="http://schemas.microsoft.com/office/drawing/2014/main" id="{00000000-0008-0000-0600-0000F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85725</xdr:colOff>
          <xdr:row>60</xdr:row>
          <xdr:rowOff>28575</xdr:rowOff>
        </xdr:from>
        <xdr:to>
          <xdr:col>25</xdr:col>
          <xdr:colOff>333375</xdr:colOff>
          <xdr:row>60</xdr:row>
          <xdr:rowOff>257175</xdr:rowOff>
        </xdr:to>
        <xdr:sp macro="" textlink="">
          <xdr:nvSpPr>
            <xdr:cNvPr id="8438" name="Check Box 246" hidden="1">
              <a:extLst>
                <a:ext uri="{63B3BB69-23CF-44E3-9099-C40C66FF867C}">
                  <a14:compatExt spid="_x0000_s8438"/>
                </a:ext>
                <a:ext uri="{FF2B5EF4-FFF2-40B4-BE49-F238E27FC236}">
                  <a16:creationId xmlns:a16="http://schemas.microsoft.com/office/drawing/2014/main" id="{00000000-0008-0000-0600-0000F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85725</xdr:colOff>
          <xdr:row>59</xdr:row>
          <xdr:rowOff>28575</xdr:rowOff>
        </xdr:from>
        <xdr:to>
          <xdr:col>27</xdr:col>
          <xdr:colOff>333375</xdr:colOff>
          <xdr:row>59</xdr:row>
          <xdr:rowOff>257175</xdr:rowOff>
        </xdr:to>
        <xdr:sp macro="" textlink="">
          <xdr:nvSpPr>
            <xdr:cNvPr id="8439" name="Check Box 247" hidden="1">
              <a:extLst>
                <a:ext uri="{63B3BB69-23CF-44E3-9099-C40C66FF867C}">
                  <a14:compatExt spid="_x0000_s8439"/>
                </a:ext>
                <a:ext uri="{FF2B5EF4-FFF2-40B4-BE49-F238E27FC236}">
                  <a16:creationId xmlns:a16="http://schemas.microsoft.com/office/drawing/2014/main" id="{00000000-0008-0000-0600-0000F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85725</xdr:colOff>
          <xdr:row>61</xdr:row>
          <xdr:rowOff>28575</xdr:rowOff>
        </xdr:from>
        <xdr:to>
          <xdr:col>30</xdr:col>
          <xdr:colOff>333375</xdr:colOff>
          <xdr:row>61</xdr:row>
          <xdr:rowOff>257175</xdr:rowOff>
        </xdr:to>
        <xdr:sp macro="" textlink="">
          <xdr:nvSpPr>
            <xdr:cNvPr id="8441" name="Check Box 249" hidden="1">
              <a:extLst>
                <a:ext uri="{63B3BB69-23CF-44E3-9099-C40C66FF867C}">
                  <a14:compatExt spid="_x0000_s8441"/>
                </a:ext>
                <a:ext uri="{FF2B5EF4-FFF2-40B4-BE49-F238E27FC236}">
                  <a16:creationId xmlns:a16="http://schemas.microsoft.com/office/drawing/2014/main" id="{00000000-0008-0000-0600-0000F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9</xdr:col>
      <xdr:colOff>76201</xdr:colOff>
      <xdr:row>3</xdr:row>
      <xdr:rowOff>21772</xdr:rowOff>
    </xdr:from>
    <xdr:to>
      <xdr:col>9</xdr:col>
      <xdr:colOff>304801</xdr:colOff>
      <xdr:row>3</xdr:row>
      <xdr:rowOff>250372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/>
      </xdr:nvSpPr>
      <xdr:spPr>
        <a:xfrm>
          <a:off x="3352801" y="1328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54427</xdr:colOff>
      <xdr:row>3</xdr:row>
      <xdr:rowOff>21772</xdr:rowOff>
    </xdr:from>
    <xdr:to>
      <xdr:col>12</xdr:col>
      <xdr:colOff>283027</xdr:colOff>
      <xdr:row>3</xdr:row>
      <xdr:rowOff>250372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/>
      </xdr:nvSpPr>
      <xdr:spPr>
        <a:xfrm>
          <a:off x="4626427" y="1328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76202</xdr:colOff>
      <xdr:row>4</xdr:row>
      <xdr:rowOff>21772</xdr:rowOff>
    </xdr:from>
    <xdr:to>
      <xdr:col>18</xdr:col>
      <xdr:colOff>304802</xdr:colOff>
      <xdr:row>4</xdr:row>
      <xdr:rowOff>250372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/>
      </xdr:nvSpPr>
      <xdr:spPr>
        <a:xfrm>
          <a:off x="6749145" y="16002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65316</xdr:colOff>
      <xdr:row>5</xdr:row>
      <xdr:rowOff>21772</xdr:rowOff>
    </xdr:from>
    <xdr:to>
      <xdr:col>15</xdr:col>
      <xdr:colOff>293916</xdr:colOff>
      <xdr:row>5</xdr:row>
      <xdr:rowOff>250372</xdr:rowOff>
    </xdr:to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/>
      </xdr:nvSpPr>
      <xdr:spPr>
        <a:xfrm>
          <a:off x="5617030" y="18723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65315</xdr:colOff>
      <xdr:row>6</xdr:row>
      <xdr:rowOff>21772</xdr:rowOff>
    </xdr:from>
    <xdr:to>
      <xdr:col>12</xdr:col>
      <xdr:colOff>293915</xdr:colOff>
      <xdr:row>6</xdr:row>
      <xdr:rowOff>250372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/>
      </xdr:nvSpPr>
      <xdr:spPr>
        <a:xfrm>
          <a:off x="4561115" y="21444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65316</xdr:colOff>
      <xdr:row>6</xdr:row>
      <xdr:rowOff>21772</xdr:rowOff>
    </xdr:from>
    <xdr:to>
      <xdr:col>18</xdr:col>
      <xdr:colOff>293916</xdr:colOff>
      <xdr:row>6</xdr:row>
      <xdr:rowOff>250372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/>
      </xdr:nvSpPr>
      <xdr:spPr>
        <a:xfrm>
          <a:off x="6738259" y="21444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97974</xdr:colOff>
      <xdr:row>5</xdr:row>
      <xdr:rowOff>21772</xdr:rowOff>
    </xdr:from>
    <xdr:to>
      <xdr:col>10</xdr:col>
      <xdr:colOff>326574</xdr:colOff>
      <xdr:row>5</xdr:row>
      <xdr:rowOff>250372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/>
      </xdr:nvSpPr>
      <xdr:spPr>
        <a:xfrm>
          <a:off x="3755574" y="18723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65316</xdr:colOff>
      <xdr:row>37</xdr:row>
      <xdr:rowOff>21772</xdr:rowOff>
    </xdr:from>
    <xdr:to>
      <xdr:col>18</xdr:col>
      <xdr:colOff>293916</xdr:colOff>
      <xdr:row>37</xdr:row>
      <xdr:rowOff>250372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6814459" y="13520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130632</xdr:colOff>
      <xdr:row>37</xdr:row>
      <xdr:rowOff>21772</xdr:rowOff>
    </xdr:from>
    <xdr:to>
      <xdr:col>21</xdr:col>
      <xdr:colOff>359232</xdr:colOff>
      <xdr:row>37</xdr:row>
      <xdr:rowOff>250372</xdr:rowOff>
    </xdr:to>
    <xdr:sp macro="" textlink="">
      <xdr:nvSpPr>
        <xdr:cNvPr id="68" name="Rectangle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/>
      </xdr:nvSpPr>
      <xdr:spPr>
        <a:xfrm>
          <a:off x="7935689" y="13520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65316</xdr:colOff>
      <xdr:row>39</xdr:row>
      <xdr:rowOff>21772</xdr:rowOff>
    </xdr:from>
    <xdr:to>
      <xdr:col>15</xdr:col>
      <xdr:colOff>293916</xdr:colOff>
      <xdr:row>39</xdr:row>
      <xdr:rowOff>250372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/>
      </xdr:nvSpPr>
      <xdr:spPr>
        <a:xfrm>
          <a:off x="5693230" y="140643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65316</xdr:colOff>
      <xdr:row>39</xdr:row>
      <xdr:rowOff>21772</xdr:rowOff>
    </xdr:from>
    <xdr:to>
      <xdr:col>18</xdr:col>
      <xdr:colOff>293916</xdr:colOff>
      <xdr:row>39</xdr:row>
      <xdr:rowOff>250372</xdr:rowOff>
    </xdr:to>
    <xdr:sp macro="" textlink="">
      <xdr:nvSpPr>
        <xdr:cNvPr id="70" name="Rectangle 6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/>
      </xdr:nvSpPr>
      <xdr:spPr>
        <a:xfrm>
          <a:off x="6814459" y="140643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65316</xdr:colOff>
      <xdr:row>40</xdr:row>
      <xdr:rowOff>21772</xdr:rowOff>
    </xdr:from>
    <xdr:to>
      <xdr:col>10</xdr:col>
      <xdr:colOff>293916</xdr:colOff>
      <xdr:row>40</xdr:row>
      <xdr:rowOff>250372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/>
      </xdr:nvSpPr>
      <xdr:spPr>
        <a:xfrm>
          <a:off x="3722916" y="143364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65316</xdr:colOff>
      <xdr:row>40</xdr:row>
      <xdr:rowOff>21772</xdr:rowOff>
    </xdr:from>
    <xdr:to>
      <xdr:col>13</xdr:col>
      <xdr:colOff>293916</xdr:colOff>
      <xdr:row>40</xdr:row>
      <xdr:rowOff>250372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/>
      </xdr:nvSpPr>
      <xdr:spPr>
        <a:xfrm>
          <a:off x="4985659" y="143364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65316</xdr:colOff>
      <xdr:row>42</xdr:row>
      <xdr:rowOff>21772</xdr:rowOff>
    </xdr:from>
    <xdr:to>
      <xdr:col>8</xdr:col>
      <xdr:colOff>293916</xdr:colOff>
      <xdr:row>42</xdr:row>
      <xdr:rowOff>250372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/>
      </xdr:nvSpPr>
      <xdr:spPr>
        <a:xfrm>
          <a:off x="2960916" y="148916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65316</xdr:colOff>
      <xdr:row>42</xdr:row>
      <xdr:rowOff>21772</xdr:rowOff>
    </xdr:from>
    <xdr:to>
      <xdr:col>12</xdr:col>
      <xdr:colOff>293916</xdr:colOff>
      <xdr:row>42</xdr:row>
      <xdr:rowOff>250372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/>
      </xdr:nvSpPr>
      <xdr:spPr>
        <a:xfrm>
          <a:off x="4637316" y="148916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65316</xdr:colOff>
      <xdr:row>42</xdr:row>
      <xdr:rowOff>21772</xdr:rowOff>
    </xdr:from>
    <xdr:to>
      <xdr:col>17</xdr:col>
      <xdr:colOff>293916</xdr:colOff>
      <xdr:row>42</xdr:row>
      <xdr:rowOff>250372</xdr:rowOff>
    </xdr:to>
    <xdr:sp macro="" textlink="">
      <xdr:nvSpPr>
        <xdr:cNvPr id="75" name="Rectangle 74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/>
      </xdr:nvSpPr>
      <xdr:spPr>
        <a:xfrm>
          <a:off x="6455230" y="148916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65316</xdr:colOff>
      <xdr:row>42</xdr:row>
      <xdr:rowOff>21772</xdr:rowOff>
    </xdr:from>
    <xdr:to>
      <xdr:col>20</xdr:col>
      <xdr:colOff>293916</xdr:colOff>
      <xdr:row>42</xdr:row>
      <xdr:rowOff>250372</xdr:rowOff>
    </xdr:to>
    <xdr:sp macro="" textlink="">
      <xdr:nvSpPr>
        <xdr:cNvPr id="76" name="Rectangle 75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/>
      </xdr:nvSpPr>
      <xdr:spPr>
        <a:xfrm>
          <a:off x="7522030" y="148916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65316</xdr:colOff>
      <xdr:row>42</xdr:row>
      <xdr:rowOff>21772</xdr:rowOff>
    </xdr:from>
    <xdr:to>
      <xdr:col>28</xdr:col>
      <xdr:colOff>293916</xdr:colOff>
      <xdr:row>42</xdr:row>
      <xdr:rowOff>250372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/>
      </xdr:nvSpPr>
      <xdr:spPr>
        <a:xfrm>
          <a:off x="10482945" y="148916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21772</xdr:colOff>
      <xdr:row>42</xdr:row>
      <xdr:rowOff>21772</xdr:rowOff>
    </xdr:from>
    <xdr:to>
      <xdr:col>32</xdr:col>
      <xdr:colOff>250372</xdr:colOff>
      <xdr:row>42</xdr:row>
      <xdr:rowOff>250372</xdr:rowOff>
    </xdr:to>
    <xdr:sp macro="" textlink="">
      <xdr:nvSpPr>
        <xdr:cNvPr id="78" name="Rectangle 77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/>
      </xdr:nvSpPr>
      <xdr:spPr>
        <a:xfrm>
          <a:off x="11832772" y="148916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65316</xdr:colOff>
      <xdr:row>44</xdr:row>
      <xdr:rowOff>21772</xdr:rowOff>
    </xdr:from>
    <xdr:to>
      <xdr:col>8</xdr:col>
      <xdr:colOff>293916</xdr:colOff>
      <xdr:row>44</xdr:row>
      <xdr:rowOff>250372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/>
      </xdr:nvSpPr>
      <xdr:spPr>
        <a:xfrm>
          <a:off x="2960916" y="152617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65316</xdr:colOff>
      <xdr:row>44</xdr:row>
      <xdr:rowOff>21772</xdr:rowOff>
    </xdr:from>
    <xdr:to>
      <xdr:col>14</xdr:col>
      <xdr:colOff>293916</xdr:colOff>
      <xdr:row>44</xdr:row>
      <xdr:rowOff>250372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/>
      </xdr:nvSpPr>
      <xdr:spPr>
        <a:xfrm>
          <a:off x="5334002" y="152617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76202</xdr:colOff>
      <xdr:row>44</xdr:row>
      <xdr:rowOff>21772</xdr:rowOff>
    </xdr:from>
    <xdr:to>
      <xdr:col>17</xdr:col>
      <xdr:colOff>304802</xdr:colOff>
      <xdr:row>44</xdr:row>
      <xdr:rowOff>250372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6466116" y="152617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65316</xdr:colOff>
      <xdr:row>44</xdr:row>
      <xdr:rowOff>21772</xdr:rowOff>
    </xdr:from>
    <xdr:to>
      <xdr:col>24</xdr:col>
      <xdr:colOff>293916</xdr:colOff>
      <xdr:row>44</xdr:row>
      <xdr:rowOff>250372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9089573" y="152617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130632</xdr:colOff>
      <xdr:row>49</xdr:row>
      <xdr:rowOff>21772</xdr:rowOff>
    </xdr:from>
    <xdr:to>
      <xdr:col>10</xdr:col>
      <xdr:colOff>359232</xdr:colOff>
      <xdr:row>49</xdr:row>
      <xdr:rowOff>250372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/>
      </xdr:nvSpPr>
      <xdr:spPr>
        <a:xfrm>
          <a:off x="3788232" y="166769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65316</xdr:colOff>
      <xdr:row>49</xdr:row>
      <xdr:rowOff>21772</xdr:rowOff>
    </xdr:from>
    <xdr:to>
      <xdr:col>14</xdr:col>
      <xdr:colOff>293916</xdr:colOff>
      <xdr:row>49</xdr:row>
      <xdr:rowOff>250372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/>
      </xdr:nvSpPr>
      <xdr:spPr>
        <a:xfrm>
          <a:off x="5334002" y="166769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65316</xdr:colOff>
      <xdr:row>49</xdr:row>
      <xdr:rowOff>21772</xdr:rowOff>
    </xdr:from>
    <xdr:to>
      <xdr:col>19</xdr:col>
      <xdr:colOff>293916</xdr:colOff>
      <xdr:row>49</xdr:row>
      <xdr:rowOff>250372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/>
      </xdr:nvSpPr>
      <xdr:spPr>
        <a:xfrm>
          <a:off x="7173687" y="166769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65316</xdr:colOff>
      <xdr:row>49</xdr:row>
      <xdr:rowOff>21772</xdr:rowOff>
    </xdr:from>
    <xdr:to>
      <xdr:col>23</xdr:col>
      <xdr:colOff>293916</xdr:colOff>
      <xdr:row>49</xdr:row>
      <xdr:rowOff>250372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/>
      </xdr:nvSpPr>
      <xdr:spPr>
        <a:xfrm>
          <a:off x="8741230" y="166769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76202</xdr:colOff>
      <xdr:row>49</xdr:row>
      <xdr:rowOff>21772</xdr:rowOff>
    </xdr:from>
    <xdr:to>
      <xdr:col>27</xdr:col>
      <xdr:colOff>304802</xdr:colOff>
      <xdr:row>49</xdr:row>
      <xdr:rowOff>250372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/>
      </xdr:nvSpPr>
      <xdr:spPr>
        <a:xfrm>
          <a:off x="10145488" y="166769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76202</xdr:colOff>
      <xdr:row>49</xdr:row>
      <xdr:rowOff>21772</xdr:rowOff>
    </xdr:from>
    <xdr:to>
      <xdr:col>30</xdr:col>
      <xdr:colOff>304802</xdr:colOff>
      <xdr:row>49</xdr:row>
      <xdr:rowOff>250372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/>
      </xdr:nvSpPr>
      <xdr:spPr>
        <a:xfrm>
          <a:off x="11190516" y="166769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65316</xdr:colOff>
      <xdr:row>49</xdr:row>
      <xdr:rowOff>21772</xdr:rowOff>
    </xdr:from>
    <xdr:to>
      <xdr:col>34</xdr:col>
      <xdr:colOff>293916</xdr:colOff>
      <xdr:row>49</xdr:row>
      <xdr:rowOff>250372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/>
      </xdr:nvSpPr>
      <xdr:spPr>
        <a:xfrm>
          <a:off x="12496802" y="166769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65316</xdr:colOff>
      <xdr:row>50</xdr:row>
      <xdr:rowOff>21772</xdr:rowOff>
    </xdr:from>
    <xdr:to>
      <xdr:col>5</xdr:col>
      <xdr:colOff>293916</xdr:colOff>
      <xdr:row>50</xdr:row>
      <xdr:rowOff>250372</xdr:rowOff>
    </xdr:to>
    <xdr:sp macro="" textlink="">
      <xdr:nvSpPr>
        <xdr:cNvPr id="90" name="Rectangle 89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/>
      </xdr:nvSpPr>
      <xdr:spPr>
        <a:xfrm>
          <a:off x="1817916" y="169599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76202</xdr:colOff>
      <xdr:row>54</xdr:row>
      <xdr:rowOff>21772</xdr:rowOff>
    </xdr:from>
    <xdr:to>
      <xdr:col>11</xdr:col>
      <xdr:colOff>304802</xdr:colOff>
      <xdr:row>54</xdr:row>
      <xdr:rowOff>250372</xdr:rowOff>
    </xdr:to>
    <xdr:sp macro="" textlink="">
      <xdr:nvSpPr>
        <xdr:cNvPr id="91" name="Rectangle 90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/>
      </xdr:nvSpPr>
      <xdr:spPr>
        <a:xfrm>
          <a:off x="4191002" y="18092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65316</xdr:colOff>
      <xdr:row>54</xdr:row>
      <xdr:rowOff>21772</xdr:rowOff>
    </xdr:from>
    <xdr:to>
      <xdr:col>18</xdr:col>
      <xdr:colOff>293916</xdr:colOff>
      <xdr:row>54</xdr:row>
      <xdr:rowOff>250372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/>
      </xdr:nvSpPr>
      <xdr:spPr>
        <a:xfrm>
          <a:off x="6814459" y="18092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76202</xdr:colOff>
      <xdr:row>54</xdr:row>
      <xdr:rowOff>21772</xdr:rowOff>
    </xdr:from>
    <xdr:to>
      <xdr:col>25</xdr:col>
      <xdr:colOff>304802</xdr:colOff>
      <xdr:row>54</xdr:row>
      <xdr:rowOff>250372</xdr:rowOff>
    </xdr:to>
    <xdr:sp macro="" textlink="">
      <xdr:nvSpPr>
        <xdr:cNvPr id="93" name="Rectangle 92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/>
      </xdr:nvSpPr>
      <xdr:spPr>
        <a:xfrm>
          <a:off x="9448802" y="18092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65316</xdr:colOff>
      <xdr:row>55</xdr:row>
      <xdr:rowOff>10886</xdr:rowOff>
    </xdr:from>
    <xdr:to>
      <xdr:col>13</xdr:col>
      <xdr:colOff>293916</xdr:colOff>
      <xdr:row>55</xdr:row>
      <xdr:rowOff>239486</xdr:rowOff>
    </xdr:to>
    <xdr:sp macro="" textlink="">
      <xdr:nvSpPr>
        <xdr:cNvPr id="94" name="Rectangle 93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SpPr/>
      </xdr:nvSpPr>
      <xdr:spPr>
        <a:xfrm>
          <a:off x="4985659" y="1836420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65316</xdr:colOff>
      <xdr:row>55</xdr:row>
      <xdr:rowOff>21772</xdr:rowOff>
    </xdr:from>
    <xdr:to>
      <xdr:col>20</xdr:col>
      <xdr:colOff>293916</xdr:colOff>
      <xdr:row>55</xdr:row>
      <xdr:rowOff>250372</xdr:rowOff>
    </xdr:to>
    <xdr:sp macro="" textlink="">
      <xdr:nvSpPr>
        <xdr:cNvPr id="95" name="Rectangle 94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SpPr/>
      </xdr:nvSpPr>
      <xdr:spPr>
        <a:xfrm>
          <a:off x="7522030" y="183750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65316</xdr:colOff>
      <xdr:row>55</xdr:row>
      <xdr:rowOff>21772</xdr:rowOff>
    </xdr:from>
    <xdr:to>
      <xdr:col>27</xdr:col>
      <xdr:colOff>293916</xdr:colOff>
      <xdr:row>55</xdr:row>
      <xdr:rowOff>250372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/>
      </xdr:nvSpPr>
      <xdr:spPr>
        <a:xfrm>
          <a:off x="10134602" y="183750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65316</xdr:colOff>
      <xdr:row>57</xdr:row>
      <xdr:rowOff>21772</xdr:rowOff>
    </xdr:from>
    <xdr:to>
      <xdr:col>19</xdr:col>
      <xdr:colOff>293916</xdr:colOff>
      <xdr:row>57</xdr:row>
      <xdr:rowOff>250372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>
        <a:xfrm>
          <a:off x="7173687" y="189411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65316</xdr:colOff>
      <xdr:row>57</xdr:row>
      <xdr:rowOff>21772</xdr:rowOff>
    </xdr:from>
    <xdr:to>
      <xdr:col>26</xdr:col>
      <xdr:colOff>293916</xdr:colOff>
      <xdr:row>57</xdr:row>
      <xdr:rowOff>250372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/>
      </xdr:nvSpPr>
      <xdr:spPr>
        <a:xfrm>
          <a:off x="9786259" y="189411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65316</xdr:colOff>
      <xdr:row>57</xdr:row>
      <xdr:rowOff>21772</xdr:rowOff>
    </xdr:from>
    <xdr:to>
      <xdr:col>33</xdr:col>
      <xdr:colOff>293916</xdr:colOff>
      <xdr:row>57</xdr:row>
      <xdr:rowOff>250372</xdr:rowOff>
    </xdr:to>
    <xdr:sp macro="" textlink="">
      <xdr:nvSpPr>
        <xdr:cNvPr id="99" name="Rectangle 98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SpPr/>
      </xdr:nvSpPr>
      <xdr:spPr>
        <a:xfrm>
          <a:off x="12148459" y="189411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65316</xdr:colOff>
      <xdr:row>59</xdr:row>
      <xdr:rowOff>21772</xdr:rowOff>
    </xdr:from>
    <xdr:to>
      <xdr:col>13</xdr:col>
      <xdr:colOff>293916</xdr:colOff>
      <xdr:row>59</xdr:row>
      <xdr:rowOff>250372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/>
      </xdr:nvSpPr>
      <xdr:spPr>
        <a:xfrm>
          <a:off x="4985659" y="195072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65316</xdr:colOff>
      <xdr:row>59</xdr:row>
      <xdr:rowOff>32658</xdr:rowOff>
    </xdr:from>
    <xdr:to>
      <xdr:col>20</xdr:col>
      <xdr:colOff>293916</xdr:colOff>
      <xdr:row>59</xdr:row>
      <xdr:rowOff>261258</xdr:rowOff>
    </xdr:to>
    <xdr:sp macro="" textlink="">
      <xdr:nvSpPr>
        <xdr:cNvPr id="101" name="Rectangle 100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/>
      </xdr:nvSpPr>
      <xdr:spPr>
        <a:xfrm>
          <a:off x="7522030" y="195180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65316</xdr:colOff>
      <xdr:row>59</xdr:row>
      <xdr:rowOff>21772</xdr:rowOff>
    </xdr:from>
    <xdr:to>
      <xdr:col>27</xdr:col>
      <xdr:colOff>293916</xdr:colOff>
      <xdr:row>59</xdr:row>
      <xdr:rowOff>250372</xdr:rowOff>
    </xdr:to>
    <xdr:sp macro="" textlink="">
      <xdr:nvSpPr>
        <xdr:cNvPr id="102" name="Rectangle 101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SpPr/>
      </xdr:nvSpPr>
      <xdr:spPr>
        <a:xfrm>
          <a:off x="10134602" y="195072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119740</xdr:colOff>
      <xdr:row>60</xdr:row>
      <xdr:rowOff>21772</xdr:rowOff>
    </xdr:from>
    <xdr:to>
      <xdr:col>11</xdr:col>
      <xdr:colOff>348340</xdr:colOff>
      <xdr:row>60</xdr:row>
      <xdr:rowOff>250372</xdr:rowOff>
    </xdr:to>
    <xdr:sp macro="" textlink="">
      <xdr:nvSpPr>
        <xdr:cNvPr id="103" name="Rectangle 102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SpPr/>
      </xdr:nvSpPr>
      <xdr:spPr>
        <a:xfrm>
          <a:off x="4234540" y="1979022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65316</xdr:colOff>
      <xdr:row>60</xdr:row>
      <xdr:rowOff>21772</xdr:rowOff>
    </xdr:from>
    <xdr:to>
      <xdr:col>18</xdr:col>
      <xdr:colOff>293916</xdr:colOff>
      <xdr:row>60</xdr:row>
      <xdr:rowOff>250372</xdr:rowOff>
    </xdr:to>
    <xdr:sp macro="" textlink="">
      <xdr:nvSpPr>
        <xdr:cNvPr id="104" name="Rectangle 103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SpPr/>
      </xdr:nvSpPr>
      <xdr:spPr>
        <a:xfrm>
          <a:off x="6814459" y="1979022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65316</xdr:colOff>
      <xdr:row>60</xdr:row>
      <xdr:rowOff>21772</xdr:rowOff>
    </xdr:from>
    <xdr:to>
      <xdr:col>25</xdr:col>
      <xdr:colOff>293916</xdr:colOff>
      <xdr:row>60</xdr:row>
      <xdr:rowOff>250372</xdr:rowOff>
    </xdr:to>
    <xdr:sp macro="" textlink="">
      <xdr:nvSpPr>
        <xdr:cNvPr id="105" name="Rectangle 104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SpPr/>
      </xdr:nvSpPr>
      <xdr:spPr>
        <a:xfrm>
          <a:off x="9437916" y="1979022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65316</xdr:colOff>
      <xdr:row>61</xdr:row>
      <xdr:rowOff>21772</xdr:rowOff>
    </xdr:from>
    <xdr:to>
      <xdr:col>16</xdr:col>
      <xdr:colOff>293916</xdr:colOff>
      <xdr:row>61</xdr:row>
      <xdr:rowOff>250372</xdr:rowOff>
    </xdr:to>
    <xdr:sp macro="" textlink="">
      <xdr:nvSpPr>
        <xdr:cNvPr id="106" name="Rectangle 105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/>
      </xdr:nvSpPr>
      <xdr:spPr>
        <a:xfrm>
          <a:off x="6063345" y="200732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65316</xdr:colOff>
      <xdr:row>61</xdr:row>
      <xdr:rowOff>10886</xdr:rowOff>
    </xdr:from>
    <xdr:to>
      <xdr:col>23</xdr:col>
      <xdr:colOff>293916</xdr:colOff>
      <xdr:row>61</xdr:row>
      <xdr:rowOff>239486</xdr:rowOff>
    </xdr:to>
    <xdr:sp macro="" textlink="">
      <xdr:nvSpPr>
        <xdr:cNvPr id="107" name="Rectangle 106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SpPr/>
      </xdr:nvSpPr>
      <xdr:spPr>
        <a:xfrm>
          <a:off x="8741230" y="200623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65316</xdr:colOff>
      <xdr:row>61</xdr:row>
      <xdr:rowOff>21772</xdr:rowOff>
    </xdr:from>
    <xdr:to>
      <xdr:col>30</xdr:col>
      <xdr:colOff>293916</xdr:colOff>
      <xdr:row>61</xdr:row>
      <xdr:rowOff>250372</xdr:rowOff>
    </xdr:to>
    <xdr:sp macro="" textlink="">
      <xdr:nvSpPr>
        <xdr:cNvPr id="108" name="Rectangle 107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SpPr/>
      </xdr:nvSpPr>
      <xdr:spPr>
        <a:xfrm>
          <a:off x="11179630" y="200732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76201</xdr:colOff>
      <xdr:row>4</xdr:row>
      <xdr:rowOff>21772</xdr:rowOff>
    </xdr:from>
    <xdr:to>
      <xdr:col>14</xdr:col>
      <xdr:colOff>304801</xdr:colOff>
      <xdr:row>4</xdr:row>
      <xdr:rowOff>250372</xdr:rowOff>
    </xdr:to>
    <xdr:sp macro="" textlink="">
      <xdr:nvSpPr>
        <xdr:cNvPr id="109" name="Rectangle 108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SpPr/>
      </xdr:nvSpPr>
      <xdr:spPr>
        <a:xfrm>
          <a:off x="5344887" y="16002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301881</xdr:colOff>
      <xdr:row>2</xdr:row>
      <xdr:rowOff>108061</xdr:rowOff>
    </xdr:to>
    <xdr:pic macro="[0]!user">
      <xdr:nvPicPr>
        <xdr:cNvPr id="2" name="Picture 1" descr="New Orion Logo w-drop shadow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253" t="4454" r="12028" b="11920"/>
        <a:stretch/>
      </xdr:blipFill>
      <xdr:spPr bwMode="auto">
        <a:xfrm>
          <a:off x="0" y="0"/>
          <a:ext cx="1284861" cy="999601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</xdr:row>
          <xdr:rowOff>28575</xdr:rowOff>
        </xdr:from>
        <xdr:to>
          <xdr:col>12</xdr:col>
          <xdr:colOff>333375</xdr:colOff>
          <xdr:row>3</xdr:row>
          <xdr:rowOff>257175</xdr:rowOff>
        </xdr:to>
        <xdr:sp macro="" textlink="">
          <xdr:nvSpPr>
            <xdr:cNvPr id="13366" name="Check Box 54" hidden="1">
              <a:extLst>
                <a:ext uri="{63B3BB69-23CF-44E3-9099-C40C66FF867C}">
                  <a14:compatExt spid="_x0000_s13366"/>
                </a:ext>
                <a:ext uri="{FF2B5EF4-FFF2-40B4-BE49-F238E27FC236}">
                  <a16:creationId xmlns:a16="http://schemas.microsoft.com/office/drawing/2014/main" id="{00000000-0008-0000-0700-00003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85725</xdr:colOff>
          <xdr:row>3</xdr:row>
          <xdr:rowOff>28575</xdr:rowOff>
        </xdr:from>
        <xdr:to>
          <xdr:col>26</xdr:col>
          <xdr:colOff>333375</xdr:colOff>
          <xdr:row>3</xdr:row>
          <xdr:rowOff>257175</xdr:rowOff>
        </xdr:to>
        <xdr:sp macro="" textlink="">
          <xdr:nvSpPr>
            <xdr:cNvPr id="13372" name="Check Box 60" hidden="1">
              <a:extLst>
                <a:ext uri="{63B3BB69-23CF-44E3-9099-C40C66FF867C}">
                  <a14:compatExt spid="_x0000_s13372"/>
                </a:ext>
                <a:ext uri="{FF2B5EF4-FFF2-40B4-BE49-F238E27FC236}">
                  <a16:creationId xmlns:a16="http://schemas.microsoft.com/office/drawing/2014/main" id="{00000000-0008-0000-0700-00003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3</xdr:row>
          <xdr:rowOff>28575</xdr:rowOff>
        </xdr:from>
        <xdr:to>
          <xdr:col>19</xdr:col>
          <xdr:colOff>333375</xdr:colOff>
          <xdr:row>3</xdr:row>
          <xdr:rowOff>257175</xdr:rowOff>
        </xdr:to>
        <xdr:sp macro="" textlink="">
          <xdr:nvSpPr>
            <xdr:cNvPr id="13373" name="Check Box 61" hidden="1">
              <a:extLst>
                <a:ext uri="{63B3BB69-23CF-44E3-9099-C40C66FF867C}">
                  <a14:compatExt spid="_x0000_s13373"/>
                </a:ext>
                <a:ext uri="{FF2B5EF4-FFF2-40B4-BE49-F238E27FC236}">
                  <a16:creationId xmlns:a16="http://schemas.microsoft.com/office/drawing/2014/main" id="{00000000-0008-0000-0700-00003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85725</xdr:colOff>
          <xdr:row>4</xdr:row>
          <xdr:rowOff>28575</xdr:rowOff>
        </xdr:from>
        <xdr:to>
          <xdr:col>21</xdr:col>
          <xdr:colOff>333375</xdr:colOff>
          <xdr:row>4</xdr:row>
          <xdr:rowOff>257175</xdr:rowOff>
        </xdr:to>
        <xdr:sp macro="" textlink="">
          <xdr:nvSpPr>
            <xdr:cNvPr id="13374" name="Check Box 62" hidden="1">
              <a:extLst>
                <a:ext uri="{63B3BB69-23CF-44E3-9099-C40C66FF867C}">
                  <a14:compatExt spid="_x0000_s13374"/>
                </a:ext>
                <a:ext uri="{FF2B5EF4-FFF2-40B4-BE49-F238E27FC236}">
                  <a16:creationId xmlns:a16="http://schemas.microsoft.com/office/drawing/2014/main" id="{00000000-0008-0000-0700-00003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85725</xdr:colOff>
          <xdr:row>4</xdr:row>
          <xdr:rowOff>28575</xdr:rowOff>
        </xdr:from>
        <xdr:to>
          <xdr:col>28</xdr:col>
          <xdr:colOff>333375</xdr:colOff>
          <xdr:row>4</xdr:row>
          <xdr:rowOff>257175</xdr:rowOff>
        </xdr:to>
        <xdr:sp macro="" textlink="">
          <xdr:nvSpPr>
            <xdr:cNvPr id="13375" name="Check Box 63" hidden="1">
              <a:extLst>
                <a:ext uri="{63B3BB69-23CF-44E3-9099-C40C66FF867C}">
                  <a14:compatExt spid="_x0000_s13375"/>
                </a:ext>
                <a:ext uri="{FF2B5EF4-FFF2-40B4-BE49-F238E27FC236}">
                  <a16:creationId xmlns:a16="http://schemas.microsoft.com/office/drawing/2014/main" id="{00000000-0008-0000-0700-00003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4</xdr:row>
          <xdr:rowOff>28575</xdr:rowOff>
        </xdr:from>
        <xdr:to>
          <xdr:col>14</xdr:col>
          <xdr:colOff>333375</xdr:colOff>
          <xdr:row>4</xdr:row>
          <xdr:rowOff>257175</xdr:rowOff>
        </xdr:to>
        <xdr:sp macro="" textlink="">
          <xdr:nvSpPr>
            <xdr:cNvPr id="13376" name="Check Box 64" hidden="1">
              <a:extLst>
                <a:ext uri="{63B3BB69-23CF-44E3-9099-C40C66FF867C}">
                  <a14:compatExt spid="_x0000_s13376"/>
                </a:ext>
                <a:ext uri="{FF2B5EF4-FFF2-40B4-BE49-F238E27FC236}">
                  <a16:creationId xmlns:a16="http://schemas.microsoft.com/office/drawing/2014/main" id="{00000000-0008-0000-0700-00004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8</xdr:row>
          <xdr:rowOff>28575</xdr:rowOff>
        </xdr:from>
        <xdr:to>
          <xdr:col>5</xdr:col>
          <xdr:colOff>342900</xdr:colOff>
          <xdr:row>8</xdr:row>
          <xdr:rowOff>257175</xdr:rowOff>
        </xdr:to>
        <xdr:sp macro="" textlink="">
          <xdr:nvSpPr>
            <xdr:cNvPr id="13377" name="Check Box 65" hidden="1">
              <a:extLst>
                <a:ext uri="{63B3BB69-23CF-44E3-9099-C40C66FF867C}">
                  <a14:compatExt spid="_x0000_s13377"/>
                </a:ext>
                <a:ext uri="{FF2B5EF4-FFF2-40B4-BE49-F238E27FC236}">
                  <a16:creationId xmlns:a16="http://schemas.microsoft.com/office/drawing/2014/main" id="{00000000-0008-0000-0700-00004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8</xdr:row>
          <xdr:rowOff>28575</xdr:rowOff>
        </xdr:from>
        <xdr:to>
          <xdr:col>11</xdr:col>
          <xdr:colOff>409575</xdr:colOff>
          <xdr:row>8</xdr:row>
          <xdr:rowOff>257175</xdr:rowOff>
        </xdr:to>
        <xdr:sp macro="" textlink="">
          <xdr:nvSpPr>
            <xdr:cNvPr id="13378" name="Check Box 66" hidden="1">
              <a:extLst>
                <a:ext uri="{63B3BB69-23CF-44E3-9099-C40C66FF867C}">
                  <a14:compatExt spid="_x0000_s13378"/>
                </a:ext>
                <a:ext uri="{FF2B5EF4-FFF2-40B4-BE49-F238E27FC236}">
                  <a16:creationId xmlns:a16="http://schemas.microsoft.com/office/drawing/2014/main" id="{00000000-0008-0000-0700-00004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8</xdr:row>
          <xdr:rowOff>28575</xdr:rowOff>
        </xdr:from>
        <xdr:to>
          <xdr:col>2</xdr:col>
          <xdr:colOff>333375</xdr:colOff>
          <xdr:row>8</xdr:row>
          <xdr:rowOff>257175</xdr:rowOff>
        </xdr:to>
        <xdr:sp macro="" textlink="">
          <xdr:nvSpPr>
            <xdr:cNvPr id="13379" name="Check Box 67" hidden="1">
              <a:extLst>
                <a:ext uri="{63B3BB69-23CF-44E3-9099-C40C66FF867C}">
                  <a14:compatExt spid="_x0000_s13379"/>
                </a:ext>
                <a:ext uri="{FF2B5EF4-FFF2-40B4-BE49-F238E27FC236}">
                  <a16:creationId xmlns:a16="http://schemas.microsoft.com/office/drawing/2014/main" id="{00000000-0008-0000-0700-00004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22</xdr:row>
          <xdr:rowOff>28575</xdr:rowOff>
        </xdr:from>
        <xdr:to>
          <xdr:col>2</xdr:col>
          <xdr:colOff>333375</xdr:colOff>
          <xdr:row>22</xdr:row>
          <xdr:rowOff>257175</xdr:rowOff>
        </xdr:to>
        <xdr:sp macro="" textlink="">
          <xdr:nvSpPr>
            <xdr:cNvPr id="13380" name="Check Box 68" hidden="1">
              <a:extLst>
                <a:ext uri="{63B3BB69-23CF-44E3-9099-C40C66FF867C}">
                  <a14:compatExt spid="_x0000_s13380"/>
                </a:ext>
                <a:ext uri="{FF2B5EF4-FFF2-40B4-BE49-F238E27FC236}">
                  <a16:creationId xmlns:a16="http://schemas.microsoft.com/office/drawing/2014/main" id="{00000000-0008-0000-0700-00004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22</xdr:row>
          <xdr:rowOff>28575</xdr:rowOff>
        </xdr:from>
        <xdr:to>
          <xdr:col>17</xdr:col>
          <xdr:colOff>333375</xdr:colOff>
          <xdr:row>22</xdr:row>
          <xdr:rowOff>257175</xdr:rowOff>
        </xdr:to>
        <xdr:sp macro="" textlink="">
          <xdr:nvSpPr>
            <xdr:cNvPr id="13381" name="Check Box 69" hidden="1">
              <a:extLst>
                <a:ext uri="{63B3BB69-23CF-44E3-9099-C40C66FF867C}">
                  <a14:compatExt spid="_x0000_s13381"/>
                </a:ext>
                <a:ext uri="{FF2B5EF4-FFF2-40B4-BE49-F238E27FC236}">
                  <a16:creationId xmlns:a16="http://schemas.microsoft.com/office/drawing/2014/main" id="{00000000-0008-0000-0700-00004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28</xdr:row>
          <xdr:rowOff>28575</xdr:rowOff>
        </xdr:from>
        <xdr:to>
          <xdr:col>2</xdr:col>
          <xdr:colOff>333375</xdr:colOff>
          <xdr:row>28</xdr:row>
          <xdr:rowOff>257175</xdr:rowOff>
        </xdr:to>
        <xdr:sp macro="" textlink="">
          <xdr:nvSpPr>
            <xdr:cNvPr id="13412" name="Check Box 100" hidden="1">
              <a:extLst>
                <a:ext uri="{63B3BB69-23CF-44E3-9099-C40C66FF867C}">
                  <a14:compatExt spid="_x0000_s13412"/>
                </a:ext>
                <a:ext uri="{FF2B5EF4-FFF2-40B4-BE49-F238E27FC236}">
                  <a16:creationId xmlns:a16="http://schemas.microsoft.com/office/drawing/2014/main" id="{00000000-0008-0000-0700-00006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28</xdr:row>
          <xdr:rowOff>28575</xdr:rowOff>
        </xdr:from>
        <xdr:to>
          <xdr:col>5</xdr:col>
          <xdr:colOff>333375</xdr:colOff>
          <xdr:row>28</xdr:row>
          <xdr:rowOff>257175</xdr:rowOff>
        </xdr:to>
        <xdr:sp macro="" textlink="">
          <xdr:nvSpPr>
            <xdr:cNvPr id="13413" name="Check Box 101" hidden="1">
              <a:extLst>
                <a:ext uri="{63B3BB69-23CF-44E3-9099-C40C66FF867C}">
                  <a14:compatExt spid="_x0000_s13413"/>
                </a:ext>
                <a:ext uri="{FF2B5EF4-FFF2-40B4-BE49-F238E27FC236}">
                  <a16:creationId xmlns:a16="http://schemas.microsoft.com/office/drawing/2014/main" id="{00000000-0008-0000-0700-00006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30</xdr:row>
          <xdr:rowOff>28575</xdr:rowOff>
        </xdr:from>
        <xdr:to>
          <xdr:col>2</xdr:col>
          <xdr:colOff>333375</xdr:colOff>
          <xdr:row>30</xdr:row>
          <xdr:rowOff>257175</xdr:rowOff>
        </xdr:to>
        <xdr:sp macro="" textlink="">
          <xdr:nvSpPr>
            <xdr:cNvPr id="13414" name="Check Box 102" hidden="1">
              <a:extLst>
                <a:ext uri="{63B3BB69-23CF-44E3-9099-C40C66FF867C}">
                  <a14:compatExt spid="_x0000_s13414"/>
                </a:ext>
                <a:ext uri="{FF2B5EF4-FFF2-40B4-BE49-F238E27FC236}">
                  <a16:creationId xmlns:a16="http://schemas.microsoft.com/office/drawing/2014/main" id="{00000000-0008-0000-0700-00006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30</xdr:row>
          <xdr:rowOff>28575</xdr:rowOff>
        </xdr:from>
        <xdr:to>
          <xdr:col>5</xdr:col>
          <xdr:colOff>333375</xdr:colOff>
          <xdr:row>30</xdr:row>
          <xdr:rowOff>257175</xdr:rowOff>
        </xdr:to>
        <xdr:sp macro="" textlink="">
          <xdr:nvSpPr>
            <xdr:cNvPr id="13415" name="Check Box 103" hidden="1">
              <a:extLst>
                <a:ext uri="{63B3BB69-23CF-44E3-9099-C40C66FF867C}">
                  <a14:compatExt spid="_x0000_s13415"/>
                </a:ext>
                <a:ext uri="{FF2B5EF4-FFF2-40B4-BE49-F238E27FC236}">
                  <a16:creationId xmlns:a16="http://schemas.microsoft.com/office/drawing/2014/main" id="{00000000-0008-0000-0700-00006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32</xdr:row>
          <xdr:rowOff>28575</xdr:rowOff>
        </xdr:from>
        <xdr:to>
          <xdr:col>2</xdr:col>
          <xdr:colOff>333375</xdr:colOff>
          <xdr:row>32</xdr:row>
          <xdr:rowOff>257175</xdr:rowOff>
        </xdr:to>
        <xdr:sp macro="" textlink="">
          <xdr:nvSpPr>
            <xdr:cNvPr id="13416" name="Check Box 104" hidden="1">
              <a:extLst>
                <a:ext uri="{63B3BB69-23CF-44E3-9099-C40C66FF867C}">
                  <a14:compatExt spid="_x0000_s13416"/>
                </a:ext>
                <a:ext uri="{FF2B5EF4-FFF2-40B4-BE49-F238E27FC236}">
                  <a16:creationId xmlns:a16="http://schemas.microsoft.com/office/drawing/2014/main" id="{00000000-0008-0000-0700-00006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32</xdr:row>
          <xdr:rowOff>28575</xdr:rowOff>
        </xdr:from>
        <xdr:to>
          <xdr:col>5</xdr:col>
          <xdr:colOff>333375</xdr:colOff>
          <xdr:row>32</xdr:row>
          <xdr:rowOff>257175</xdr:rowOff>
        </xdr:to>
        <xdr:sp macro="" textlink="">
          <xdr:nvSpPr>
            <xdr:cNvPr id="13417" name="Check Box 105" hidden="1">
              <a:extLst>
                <a:ext uri="{63B3BB69-23CF-44E3-9099-C40C66FF867C}">
                  <a14:compatExt spid="_x0000_s13417"/>
                </a:ext>
                <a:ext uri="{FF2B5EF4-FFF2-40B4-BE49-F238E27FC236}">
                  <a16:creationId xmlns:a16="http://schemas.microsoft.com/office/drawing/2014/main" id="{00000000-0008-0000-0700-00006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34</xdr:row>
          <xdr:rowOff>28575</xdr:rowOff>
        </xdr:from>
        <xdr:to>
          <xdr:col>2</xdr:col>
          <xdr:colOff>333375</xdr:colOff>
          <xdr:row>34</xdr:row>
          <xdr:rowOff>257175</xdr:rowOff>
        </xdr:to>
        <xdr:sp macro="" textlink="">
          <xdr:nvSpPr>
            <xdr:cNvPr id="13418" name="Check Box 106" hidden="1">
              <a:extLst>
                <a:ext uri="{63B3BB69-23CF-44E3-9099-C40C66FF867C}">
                  <a14:compatExt spid="_x0000_s13418"/>
                </a:ext>
                <a:ext uri="{FF2B5EF4-FFF2-40B4-BE49-F238E27FC236}">
                  <a16:creationId xmlns:a16="http://schemas.microsoft.com/office/drawing/2014/main" id="{00000000-0008-0000-0700-00006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34</xdr:row>
          <xdr:rowOff>28575</xdr:rowOff>
        </xdr:from>
        <xdr:to>
          <xdr:col>5</xdr:col>
          <xdr:colOff>333375</xdr:colOff>
          <xdr:row>34</xdr:row>
          <xdr:rowOff>257175</xdr:rowOff>
        </xdr:to>
        <xdr:sp macro="" textlink="">
          <xdr:nvSpPr>
            <xdr:cNvPr id="13419" name="Check Box 107" hidden="1">
              <a:extLst>
                <a:ext uri="{63B3BB69-23CF-44E3-9099-C40C66FF867C}">
                  <a14:compatExt spid="_x0000_s13419"/>
                </a:ext>
                <a:ext uri="{FF2B5EF4-FFF2-40B4-BE49-F238E27FC236}">
                  <a16:creationId xmlns:a16="http://schemas.microsoft.com/office/drawing/2014/main" id="{00000000-0008-0000-0700-00006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37</xdr:row>
          <xdr:rowOff>28575</xdr:rowOff>
        </xdr:from>
        <xdr:to>
          <xdr:col>2</xdr:col>
          <xdr:colOff>333375</xdr:colOff>
          <xdr:row>37</xdr:row>
          <xdr:rowOff>257175</xdr:rowOff>
        </xdr:to>
        <xdr:sp macro="" textlink="">
          <xdr:nvSpPr>
            <xdr:cNvPr id="13420" name="Check Box 108" hidden="1">
              <a:extLst>
                <a:ext uri="{63B3BB69-23CF-44E3-9099-C40C66FF867C}">
                  <a14:compatExt spid="_x0000_s13420"/>
                </a:ext>
                <a:ext uri="{FF2B5EF4-FFF2-40B4-BE49-F238E27FC236}">
                  <a16:creationId xmlns:a16="http://schemas.microsoft.com/office/drawing/2014/main" id="{00000000-0008-0000-0700-00006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37</xdr:row>
          <xdr:rowOff>28575</xdr:rowOff>
        </xdr:from>
        <xdr:to>
          <xdr:col>5</xdr:col>
          <xdr:colOff>333375</xdr:colOff>
          <xdr:row>37</xdr:row>
          <xdr:rowOff>257175</xdr:rowOff>
        </xdr:to>
        <xdr:sp macro="" textlink="">
          <xdr:nvSpPr>
            <xdr:cNvPr id="13421" name="Check Box 109" hidden="1">
              <a:extLst>
                <a:ext uri="{63B3BB69-23CF-44E3-9099-C40C66FF867C}">
                  <a14:compatExt spid="_x0000_s13421"/>
                </a:ext>
                <a:ext uri="{FF2B5EF4-FFF2-40B4-BE49-F238E27FC236}">
                  <a16:creationId xmlns:a16="http://schemas.microsoft.com/office/drawing/2014/main" id="{00000000-0008-0000-0700-00006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40</xdr:row>
          <xdr:rowOff>28575</xdr:rowOff>
        </xdr:from>
        <xdr:to>
          <xdr:col>2</xdr:col>
          <xdr:colOff>333375</xdr:colOff>
          <xdr:row>40</xdr:row>
          <xdr:rowOff>257175</xdr:rowOff>
        </xdr:to>
        <xdr:sp macro="" textlink="">
          <xdr:nvSpPr>
            <xdr:cNvPr id="13422" name="Check Box 110" hidden="1">
              <a:extLst>
                <a:ext uri="{63B3BB69-23CF-44E3-9099-C40C66FF867C}">
                  <a14:compatExt spid="_x0000_s13422"/>
                </a:ext>
                <a:ext uri="{FF2B5EF4-FFF2-40B4-BE49-F238E27FC236}">
                  <a16:creationId xmlns:a16="http://schemas.microsoft.com/office/drawing/2014/main" id="{00000000-0008-0000-0700-00006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40</xdr:row>
          <xdr:rowOff>28575</xdr:rowOff>
        </xdr:from>
        <xdr:to>
          <xdr:col>5</xdr:col>
          <xdr:colOff>333375</xdr:colOff>
          <xdr:row>40</xdr:row>
          <xdr:rowOff>257175</xdr:rowOff>
        </xdr:to>
        <xdr:sp macro="" textlink="">
          <xdr:nvSpPr>
            <xdr:cNvPr id="13423" name="Check Box 111" hidden="1">
              <a:extLst>
                <a:ext uri="{63B3BB69-23CF-44E3-9099-C40C66FF867C}">
                  <a14:compatExt spid="_x0000_s13423"/>
                </a:ext>
                <a:ext uri="{FF2B5EF4-FFF2-40B4-BE49-F238E27FC236}">
                  <a16:creationId xmlns:a16="http://schemas.microsoft.com/office/drawing/2014/main" id="{00000000-0008-0000-0700-00006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57</xdr:row>
          <xdr:rowOff>28575</xdr:rowOff>
        </xdr:from>
        <xdr:to>
          <xdr:col>2</xdr:col>
          <xdr:colOff>333375</xdr:colOff>
          <xdr:row>57</xdr:row>
          <xdr:rowOff>257175</xdr:rowOff>
        </xdr:to>
        <xdr:sp macro="" textlink="">
          <xdr:nvSpPr>
            <xdr:cNvPr id="13424" name="Check Box 112" hidden="1">
              <a:extLst>
                <a:ext uri="{63B3BB69-23CF-44E3-9099-C40C66FF867C}">
                  <a14:compatExt spid="_x0000_s13424"/>
                </a:ext>
                <a:ext uri="{FF2B5EF4-FFF2-40B4-BE49-F238E27FC236}">
                  <a16:creationId xmlns:a16="http://schemas.microsoft.com/office/drawing/2014/main" id="{00000000-0008-0000-0700-00007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58</xdr:row>
          <xdr:rowOff>28575</xdr:rowOff>
        </xdr:from>
        <xdr:to>
          <xdr:col>2</xdr:col>
          <xdr:colOff>333375</xdr:colOff>
          <xdr:row>58</xdr:row>
          <xdr:rowOff>257175</xdr:rowOff>
        </xdr:to>
        <xdr:sp macro="" textlink="">
          <xdr:nvSpPr>
            <xdr:cNvPr id="13425" name="Check Box 113" hidden="1">
              <a:extLst>
                <a:ext uri="{63B3BB69-23CF-44E3-9099-C40C66FF867C}">
                  <a14:compatExt spid="_x0000_s13425"/>
                </a:ext>
                <a:ext uri="{FF2B5EF4-FFF2-40B4-BE49-F238E27FC236}">
                  <a16:creationId xmlns:a16="http://schemas.microsoft.com/office/drawing/2014/main" id="{00000000-0008-0000-0700-00007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59</xdr:row>
          <xdr:rowOff>28575</xdr:rowOff>
        </xdr:from>
        <xdr:to>
          <xdr:col>2</xdr:col>
          <xdr:colOff>333375</xdr:colOff>
          <xdr:row>59</xdr:row>
          <xdr:rowOff>257175</xdr:rowOff>
        </xdr:to>
        <xdr:sp macro="" textlink="">
          <xdr:nvSpPr>
            <xdr:cNvPr id="13426" name="Check Box 114" hidden="1">
              <a:extLst>
                <a:ext uri="{63B3BB69-23CF-44E3-9099-C40C66FF867C}">
                  <a14:compatExt spid="_x0000_s13426"/>
                </a:ext>
                <a:ext uri="{FF2B5EF4-FFF2-40B4-BE49-F238E27FC236}">
                  <a16:creationId xmlns:a16="http://schemas.microsoft.com/office/drawing/2014/main" id="{00000000-0008-0000-0700-00007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56</xdr:row>
          <xdr:rowOff>28575</xdr:rowOff>
        </xdr:from>
        <xdr:to>
          <xdr:col>11</xdr:col>
          <xdr:colOff>333375</xdr:colOff>
          <xdr:row>56</xdr:row>
          <xdr:rowOff>257175</xdr:rowOff>
        </xdr:to>
        <xdr:sp macro="" textlink="">
          <xdr:nvSpPr>
            <xdr:cNvPr id="13427" name="Check Box 115" hidden="1">
              <a:extLst>
                <a:ext uri="{63B3BB69-23CF-44E3-9099-C40C66FF867C}">
                  <a14:compatExt spid="_x0000_s13427"/>
                </a:ext>
                <a:ext uri="{FF2B5EF4-FFF2-40B4-BE49-F238E27FC236}">
                  <a16:creationId xmlns:a16="http://schemas.microsoft.com/office/drawing/2014/main" id="{00000000-0008-0000-0700-00007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57</xdr:row>
          <xdr:rowOff>28575</xdr:rowOff>
        </xdr:from>
        <xdr:to>
          <xdr:col>11</xdr:col>
          <xdr:colOff>333375</xdr:colOff>
          <xdr:row>57</xdr:row>
          <xdr:rowOff>257175</xdr:rowOff>
        </xdr:to>
        <xdr:sp macro="" textlink="">
          <xdr:nvSpPr>
            <xdr:cNvPr id="13428" name="Check Box 116" hidden="1">
              <a:extLst>
                <a:ext uri="{63B3BB69-23CF-44E3-9099-C40C66FF867C}">
                  <a14:compatExt spid="_x0000_s13428"/>
                </a:ext>
                <a:ext uri="{FF2B5EF4-FFF2-40B4-BE49-F238E27FC236}">
                  <a16:creationId xmlns:a16="http://schemas.microsoft.com/office/drawing/2014/main" id="{00000000-0008-0000-0700-00007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58</xdr:row>
          <xdr:rowOff>28575</xdr:rowOff>
        </xdr:from>
        <xdr:to>
          <xdr:col>11</xdr:col>
          <xdr:colOff>333375</xdr:colOff>
          <xdr:row>58</xdr:row>
          <xdr:rowOff>257175</xdr:rowOff>
        </xdr:to>
        <xdr:sp macro="" textlink="">
          <xdr:nvSpPr>
            <xdr:cNvPr id="13429" name="Check Box 117" hidden="1">
              <a:extLst>
                <a:ext uri="{63B3BB69-23CF-44E3-9099-C40C66FF867C}">
                  <a14:compatExt spid="_x0000_s13429"/>
                </a:ext>
                <a:ext uri="{FF2B5EF4-FFF2-40B4-BE49-F238E27FC236}">
                  <a16:creationId xmlns:a16="http://schemas.microsoft.com/office/drawing/2014/main" id="{00000000-0008-0000-0700-00007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85725</xdr:colOff>
          <xdr:row>56</xdr:row>
          <xdr:rowOff>28575</xdr:rowOff>
        </xdr:from>
        <xdr:to>
          <xdr:col>20</xdr:col>
          <xdr:colOff>333375</xdr:colOff>
          <xdr:row>56</xdr:row>
          <xdr:rowOff>257175</xdr:rowOff>
        </xdr:to>
        <xdr:sp macro="" textlink="">
          <xdr:nvSpPr>
            <xdr:cNvPr id="13430" name="Check Box 118" hidden="1">
              <a:extLst>
                <a:ext uri="{63B3BB69-23CF-44E3-9099-C40C66FF867C}">
                  <a14:compatExt spid="_x0000_s13430"/>
                </a:ext>
                <a:ext uri="{FF2B5EF4-FFF2-40B4-BE49-F238E27FC236}">
                  <a16:creationId xmlns:a16="http://schemas.microsoft.com/office/drawing/2014/main" id="{00000000-0008-0000-0700-00007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85725</xdr:colOff>
          <xdr:row>57</xdr:row>
          <xdr:rowOff>28575</xdr:rowOff>
        </xdr:from>
        <xdr:to>
          <xdr:col>20</xdr:col>
          <xdr:colOff>333375</xdr:colOff>
          <xdr:row>57</xdr:row>
          <xdr:rowOff>257175</xdr:rowOff>
        </xdr:to>
        <xdr:sp macro="" textlink="">
          <xdr:nvSpPr>
            <xdr:cNvPr id="13431" name="Check Box 119" hidden="1">
              <a:extLst>
                <a:ext uri="{63B3BB69-23CF-44E3-9099-C40C66FF867C}">
                  <a14:compatExt spid="_x0000_s13431"/>
                </a:ext>
                <a:ext uri="{FF2B5EF4-FFF2-40B4-BE49-F238E27FC236}">
                  <a16:creationId xmlns:a16="http://schemas.microsoft.com/office/drawing/2014/main" id="{00000000-0008-0000-0700-00007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85725</xdr:colOff>
          <xdr:row>58</xdr:row>
          <xdr:rowOff>28575</xdr:rowOff>
        </xdr:from>
        <xdr:to>
          <xdr:col>20</xdr:col>
          <xdr:colOff>333375</xdr:colOff>
          <xdr:row>58</xdr:row>
          <xdr:rowOff>257175</xdr:rowOff>
        </xdr:to>
        <xdr:sp macro="" textlink="">
          <xdr:nvSpPr>
            <xdr:cNvPr id="13432" name="Check Box 120" hidden="1">
              <a:extLst>
                <a:ext uri="{63B3BB69-23CF-44E3-9099-C40C66FF867C}">
                  <a14:compatExt spid="_x0000_s13432"/>
                </a:ext>
                <a:ext uri="{FF2B5EF4-FFF2-40B4-BE49-F238E27FC236}">
                  <a16:creationId xmlns:a16="http://schemas.microsoft.com/office/drawing/2014/main" id="{00000000-0008-0000-0700-00007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85725</xdr:colOff>
          <xdr:row>59</xdr:row>
          <xdr:rowOff>28575</xdr:rowOff>
        </xdr:from>
        <xdr:to>
          <xdr:col>20</xdr:col>
          <xdr:colOff>333375</xdr:colOff>
          <xdr:row>59</xdr:row>
          <xdr:rowOff>257175</xdr:rowOff>
        </xdr:to>
        <xdr:sp macro="" textlink="">
          <xdr:nvSpPr>
            <xdr:cNvPr id="13433" name="Check Box 121" hidden="1">
              <a:extLst>
                <a:ext uri="{63B3BB69-23CF-44E3-9099-C40C66FF867C}">
                  <a14:compatExt spid="_x0000_s13433"/>
                </a:ext>
                <a:ext uri="{FF2B5EF4-FFF2-40B4-BE49-F238E27FC236}">
                  <a16:creationId xmlns:a16="http://schemas.microsoft.com/office/drawing/2014/main" id="{00000000-0008-0000-0700-00007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85725</xdr:colOff>
          <xdr:row>56</xdr:row>
          <xdr:rowOff>28575</xdr:rowOff>
        </xdr:from>
        <xdr:to>
          <xdr:col>29</xdr:col>
          <xdr:colOff>333375</xdr:colOff>
          <xdr:row>56</xdr:row>
          <xdr:rowOff>257175</xdr:rowOff>
        </xdr:to>
        <xdr:sp macro="" textlink="">
          <xdr:nvSpPr>
            <xdr:cNvPr id="13434" name="Check Box 122" hidden="1">
              <a:extLst>
                <a:ext uri="{63B3BB69-23CF-44E3-9099-C40C66FF867C}">
                  <a14:compatExt spid="_x0000_s13434"/>
                </a:ext>
                <a:ext uri="{FF2B5EF4-FFF2-40B4-BE49-F238E27FC236}">
                  <a16:creationId xmlns:a16="http://schemas.microsoft.com/office/drawing/2014/main" id="{00000000-0008-0000-0700-00007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85725</xdr:colOff>
          <xdr:row>57</xdr:row>
          <xdr:rowOff>28575</xdr:rowOff>
        </xdr:from>
        <xdr:to>
          <xdr:col>29</xdr:col>
          <xdr:colOff>333375</xdr:colOff>
          <xdr:row>57</xdr:row>
          <xdr:rowOff>257175</xdr:rowOff>
        </xdr:to>
        <xdr:sp macro="" textlink="">
          <xdr:nvSpPr>
            <xdr:cNvPr id="13435" name="Check Box 123" hidden="1">
              <a:extLst>
                <a:ext uri="{63B3BB69-23CF-44E3-9099-C40C66FF867C}">
                  <a14:compatExt spid="_x0000_s13435"/>
                </a:ext>
                <a:ext uri="{FF2B5EF4-FFF2-40B4-BE49-F238E27FC236}">
                  <a16:creationId xmlns:a16="http://schemas.microsoft.com/office/drawing/2014/main" id="{00000000-0008-0000-0700-00007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85725</xdr:colOff>
          <xdr:row>58</xdr:row>
          <xdr:rowOff>28575</xdr:rowOff>
        </xdr:from>
        <xdr:to>
          <xdr:col>29</xdr:col>
          <xdr:colOff>333375</xdr:colOff>
          <xdr:row>58</xdr:row>
          <xdr:rowOff>257175</xdr:rowOff>
        </xdr:to>
        <xdr:sp macro="" textlink="">
          <xdr:nvSpPr>
            <xdr:cNvPr id="13436" name="Check Box 124" hidden="1">
              <a:extLst>
                <a:ext uri="{63B3BB69-23CF-44E3-9099-C40C66FF867C}">
                  <a14:compatExt spid="_x0000_s13436"/>
                </a:ext>
                <a:ext uri="{FF2B5EF4-FFF2-40B4-BE49-F238E27FC236}">
                  <a16:creationId xmlns:a16="http://schemas.microsoft.com/office/drawing/2014/main" id="{00000000-0008-0000-0700-00007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</xdr:col>
      <xdr:colOff>65316</xdr:colOff>
      <xdr:row>8</xdr:row>
      <xdr:rowOff>21772</xdr:rowOff>
    </xdr:from>
    <xdr:to>
      <xdr:col>2</xdr:col>
      <xdr:colOff>293916</xdr:colOff>
      <xdr:row>8</xdr:row>
      <xdr:rowOff>250372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/>
      </xdr:nvSpPr>
      <xdr:spPr>
        <a:xfrm>
          <a:off x="707573" y="28411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87088</xdr:colOff>
      <xdr:row>8</xdr:row>
      <xdr:rowOff>21772</xdr:rowOff>
    </xdr:from>
    <xdr:to>
      <xdr:col>5</xdr:col>
      <xdr:colOff>315688</xdr:colOff>
      <xdr:row>8</xdr:row>
      <xdr:rowOff>250372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/>
      </xdr:nvSpPr>
      <xdr:spPr>
        <a:xfrm>
          <a:off x="1839688" y="28411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152404</xdr:colOff>
      <xdr:row>8</xdr:row>
      <xdr:rowOff>21772</xdr:rowOff>
    </xdr:from>
    <xdr:to>
      <xdr:col>11</xdr:col>
      <xdr:colOff>381004</xdr:colOff>
      <xdr:row>8</xdr:row>
      <xdr:rowOff>250372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/>
      </xdr:nvSpPr>
      <xdr:spPr>
        <a:xfrm>
          <a:off x="4191004" y="28411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22</xdr:row>
      <xdr:rowOff>21772</xdr:rowOff>
    </xdr:from>
    <xdr:to>
      <xdr:col>2</xdr:col>
      <xdr:colOff>293916</xdr:colOff>
      <xdr:row>22</xdr:row>
      <xdr:rowOff>250372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/>
      </xdr:nvSpPr>
      <xdr:spPr>
        <a:xfrm>
          <a:off x="707573" y="67164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76202</xdr:colOff>
      <xdr:row>22</xdr:row>
      <xdr:rowOff>21772</xdr:rowOff>
    </xdr:from>
    <xdr:to>
      <xdr:col>17</xdr:col>
      <xdr:colOff>304802</xdr:colOff>
      <xdr:row>22</xdr:row>
      <xdr:rowOff>250372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>
        <a:xfrm>
          <a:off x="6433459" y="67164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28</xdr:row>
      <xdr:rowOff>21772</xdr:rowOff>
    </xdr:from>
    <xdr:to>
      <xdr:col>2</xdr:col>
      <xdr:colOff>293916</xdr:colOff>
      <xdr:row>28</xdr:row>
      <xdr:rowOff>250372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/>
      </xdr:nvSpPr>
      <xdr:spPr>
        <a:xfrm>
          <a:off x="707573" y="836022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76202</xdr:colOff>
      <xdr:row>28</xdr:row>
      <xdr:rowOff>21772</xdr:rowOff>
    </xdr:from>
    <xdr:to>
      <xdr:col>5</xdr:col>
      <xdr:colOff>304802</xdr:colOff>
      <xdr:row>28</xdr:row>
      <xdr:rowOff>250372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/>
      </xdr:nvSpPr>
      <xdr:spPr>
        <a:xfrm>
          <a:off x="1828802" y="836022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30</xdr:row>
      <xdr:rowOff>21772</xdr:rowOff>
    </xdr:from>
    <xdr:to>
      <xdr:col>2</xdr:col>
      <xdr:colOff>293916</xdr:colOff>
      <xdr:row>30</xdr:row>
      <xdr:rowOff>250372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SpPr/>
      </xdr:nvSpPr>
      <xdr:spPr>
        <a:xfrm>
          <a:off x="707573" y="89045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65316</xdr:colOff>
      <xdr:row>30</xdr:row>
      <xdr:rowOff>21772</xdr:rowOff>
    </xdr:from>
    <xdr:to>
      <xdr:col>5</xdr:col>
      <xdr:colOff>293916</xdr:colOff>
      <xdr:row>30</xdr:row>
      <xdr:rowOff>250372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SpPr/>
      </xdr:nvSpPr>
      <xdr:spPr>
        <a:xfrm>
          <a:off x="1817916" y="89045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32</xdr:row>
      <xdr:rowOff>21772</xdr:rowOff>
    </xdr:from>
    <xdr:to>
      <xdr:col>2</xdr:col>
      <xdr:colOff>293916</xdr:colOff>
      <xdr:row>32</xdr:row>
      <xdr:rowOff>250372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/>
      </xdr:nvSpPr>
      <xdr:spPr>
        <a:xfrm>
          <a:off x="707573" y="94488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65316</xdr:colOff>
      <xdr:row>32</xdr:row>
      <xdr:rowOff>21772</xdr:rowOff>
    </xdr:from>
    <xdr:to>
      <xdr:col>5</xdr:col>
      <xdr:colOff>293916</xdr:colOff>
      <xdr:row>32</xdr:row>
      <xdr:rowOff>250372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/>
      </xdr:nvSpPr>
      <xdr:spPr>
        <a:xfrm>
          <a:off x="1817916" y="94488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34</xdr:row>
      <xdr:rowOff>21772</xdr:rowOff>
    </xdr:from>
    <xdr:to>
      <xdr:col>2</xdr:col>
      <xdr:colOff>293916</xdr:colOff>
      <xdr:row>34</xdr:row>
      <xdr:rowOff>250372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/>
      </xdr:nvSpPr>
      <xdr:spPr>
        <a:xfrm>
          <a:off x="707573" y="99930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65316</xdr:colOff>
      <xdr:row>34</xdr:row>
      <xdr:rowOff>21772</xdr:rowOff>
    </xdr:from>
    <xdr:to>
      <xdr:col>5</xdr:col>
      <xdr:colOff>293916</xdr:colOff>
      <xdr:row>34</xdr:row>
      <xdr:rowOff>250372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/>
      </xdr:nvSpPr>
      <xdr:spPr>
        <a:xfrm>
          <a:off x="1817916" y="99930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37</xdr:row>
      <xdr:rowOff>21772</xdr:rowOff>
    </xdr:from>
    <xdr:to>
      <xdr:col>2</xdr:col>
      <xdr:colOff>293916</xdr:colOff>
      <xdr:row>37</xdr:row>
      <xdr:rowOff>250372</xdr:rowOff>
    </xdr:to>
    <xdr:sp macro="" textlink="">
      <xdr:nvSpPr>
        <xdr:cNvPr id="54" name="Rectangle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/>
      </xdr:nvSpPr>
      <xdr:spPr>
        <a:xfrm>
          <a:off x="707573" y="108095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65316</xdr:colOff>
      <xdr:row>37</xdr:row>
      <xdr:rowOff>21772</xdr:rowOff>
    </xdr:from>
    <xdr:to>
      <xdr:col>5</xdr:col>
      <xdr:colOff>293916</xdr:colOff>
      <xdr:row>37</xdr:row>
      <xdr:rowOff>250372</xdr:rowOff>
    </xdr:to>
    <xdr:sp macro="" textlink="">
      <xdr:nvSpPr>
        <xdr:cNvPr id="55" name="Rectangle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/>
      </xdr:nvSpPr>
      <xdr:spPr>
        <a:xfrm>
          <a:off x="1817916" y="108095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40</xdr:row>
      <xdr:rowOff>21772</xdr:rowOff>
    </xdr:from>
    <xdr:to>
      <xdr:col>2</xdr:col>
      <xdr:colOff>293916</xdr:colOff>
      <xdr:row>40</xdr:row>
      <xdr:rowOff>250372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/>
      </xdr:nvSpPr>
      <xdr:spPr>
        <a:xfrm>
          <a:off x="707573" y="116259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76203</xdr:colOff>
      <xdr:row>40</xdr:row>
      <xdr:rowOff>21772</xdr:rowOff>
    </xdr:from>
    <xdr:to>
      <xdr:col>5</xdr:col>
      <xdr:colOff>304803</xdr:colOff>
      <xdr:row>40</xdr:row>
      <xdr:rowOff>250372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/>
      </xdr:nvSpPr>
      <xdr:spPr>
        <a:xfrm>
          <a:off x="1828803" y="116259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57</xdr:row>
      <xdr:rowOff>32658</xdr:rowOff>
    </xdr:from>
    <xdr:to>
      <xdr:col>2</xdr:col>
      <xdr:colOff>293916</xdr:colOff>
      <xdr:row>57</xdr:row>
      <xdr:rowOff>261258</xdr:rowOff>
    </xdr:to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/>
      </xdr:nvSpPr>
      <xdr:spPr>
        <a:xfrm>
          <a:off x="707573" y="191370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58</xdr:row>
      <xdr:rowOff>32658</xdr:rowOff>
    </xdr:from>
    <xdr:to>
      <xdr:col>2</xdr:col>
      <xdr:colOff>293916</xdr:colOff>
      <xdr:row>58</xdr:row>
      <xdr:rowOff>261258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/>
      </xdr:nvSpPr>
      <xdr:spPr>
        <a:xfrm>
          <a:off x="707573" y="194310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65316</xdr:colOff>
      <xdr:row>59</xdr:row>
      <xdr:rowOff>32658</xdr:rowOff>
    </xdr:from>
    <xdr:to>
      <xdr:col>2</xdr:col>
      <xdr:colOff>293916</xdr:colOff>
      <xdr:row>59</xdr:row>
      <xdr:rowOff>261258</xdr:rowOff>
    </xdr:to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/>
      </xdr:nvSpPr>
      <xdr:spPr>
        <a:xfrm>
          <a:off x="707573" y="197249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65316</xdr:colOff>
      <xdr:row>56</xdr:row>
      <xdr:rowOff>32658</xdr:rowOff>
    </xdr:from>
    <xdr:to>
      <xdr:col>11</xdr:col>
      <xdr:colOff>293916</xdr:colOff>
      <xdr:row>56</xdr:row>
      <xdr:rowOff>261258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/>
      </xdr:nvSpPr>
      <xdr:spPr>
        <a:xfrm>
          <a:off x="4103916" y="188431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65316</xdr:colOff>
      <xdr:row>57</xdr:row>
      <xdr:rowOff>32658</xdr:rowOff>
    </xdr:from>
    <xdr:to>
      <xdr:col>11</xdr:col>
      <xdr:colOff>293916</xdr:colOff>
      <xdr:row>57</xdr:row>
      <xdr:rowOff>261258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/>
      </xdr:nvSpPr>
      <xdr:spPr>
        <a:xfrm>
          <a:off x="4103916" y="191370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65316</xdr:colOff>
      <xdr:row>58</xdr:row>
      <xdr:rowOff>32658</xdr:rowOff>
    </xdr:from>
    <xdr:to>
      <xdr:col>11</xdr:col>
      <xdr:colOff>293916</xdr:colOff>
      <xdr:row>58</xdr:row>
      <xdr:rowOff>261258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/>
      </xdr:nvSpPr>
      <xdr:spPr>
        <a:xfrm>
          <a:off x="4103916" y="194310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65315</xdr:colOff>
      <xdr:row>56</xdr:row>
      <xdr:rowOff>32658</xdr:rowOff>
    </xdr:from>
    <xdr:to>
      <xdr:col>20</xdr:col>
      <xdr:colOff>293915</xdr:colOff>
      <xdr:row>56</xdr:row>
      <xdr:rowOff>261258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SpPr/>
      </xdr:nvSpPr>
      <xdr:spPr>
        <a:xfrm>
          <a:off x="7532915" y="188431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65316</xdr:colOff>
      <xdr:row>57</xdr:row>
      <xdr:rowOff>32658</xdr:rowOff>
    </xdr:from>
    <xdr:to>
      <xdr:col>20</xdr:col>
      <xdr:colOff>293916</xdr:colOff>
      <xdr:row>57</xdr:row>
      <xdr:rowOff>261258</xdr:rowOff>
    </xdr:to>
    <xdr:sp macro="" textlink="">
      <xdr:nvSpPr>
        <xdr:cNvPr id="65" name="Rectangle 64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/>
      </xdr:nvSpPr>
      <xdr:spPr>
        <a:xfrm>
          <a:off x="7532916" y="19137087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65316</xdr:colOff>
      <xdr:row>58</xdr:row>
      <xdr:rowOff>32658</xdr:rowOff>
    </xdr:from>
    <xdr:to>
      <xdr:col>20</xdr:col>
      <xdr:colOff>293916</xdr:colOff>
      <xdr:row>58</xdr:row>
      <xdr:rowOff>261258</xdr:rowOff>
    </xdr:to>
    <xdr:sp macro="" textlink="">
      <xdr:nvSpPr>
        <xdr:cNvPr id="66" name="Rectangle 6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SpPr/>
      </xdr:nvSpPr>
      <xdr:spPr>
        <a:xfrm>
          <a:off x="7532916" y="194310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76202</xdr:colOff>
      <xdr:row>56</xdr:row>
      <xdr:rowOff>32658</xdr:rowOff>
    </xdr:from>
    <xdr:to>
      <xdr:col>29</xdr:col>
      <xdr:colOff>304802</xdr:colOff>
      <xdr:row>56</xdr:row>
      <xdr:rowOff>261258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/>
      </xdr:nvSpPr>
      <xdr:spPr>
        <a:xfrm>
          <a:off x="10678888" y="18843172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76202</xdr:colOff>
      <xdr:row>57</xdr:row>
      <xdr:rowOff>21772</xdr:rowOff>
    </xdr:from>
    <xdr:to>
      <xdr:col>29</xdr:col>
      <xdr:colOff>304802</xdr:colOff>
      <xdr:row>57</xdr:row>
      <xdr:rowOff>250372</xdr:rowOff>
    </xdr:to>
    <xdr:sp macro="" textlink="">
      <xdr:nvSpPr>
        <xdr:cNvPr id="68" name="Rectangle 67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SpPr/>
      </xdr:nvSpPr>
      <xdr:spPr>
        <a:xfrm>
          <a:off x="10678888" y="191262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76202</xdr:colOff>
      <xdr:row>58</xdr:row>
      <xdr:rowOff>32658</xdr:rowOff>
    </xdr:from>
    <xdr:to>
      <xdr:col>29</xdr:col>
      <xdr:colOff>304802</xdr:colOff>
      <xdr:row>58</xdr:row>
      <xdr:rowOff>261258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/>
      </xdr:nvSpPr>
      <xdr:spPr>
        <a:xfrm>
          <a:off x="10678888" y="19431001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65315</xdr:colOff>
      <xdr:row>59</xdr:row>
      <xdr:rowOff>32658</xdr:rowOff>
    </xdr:from>
    <xdr:to>
      <xdr:col>20</xdr:col>
      <xdr:colOff>293915</xdr:colOff>
      <xdr:row>59</xdr:row>
      <xdr:rowOff>261258</xdr:rowOff>
    </xdr:to>
    <xdr:sp macro="" textlink="">
      <xdr:nvSpPr>
        <xdr:cNvPr id="70" name="Rectangle 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SpPr/>
      </xdr:nvSpPr>
      <xdr:spPr>
        <a:xfrm>
          <a:off x="7532915" y="19724915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65314</xdr:colOff>
      <xdr:row>60</xdr:row>
      <xdr:rowOff>21772</xdr:rowOff>
    </xdr:from>
    <xdr:to>
      <xdr:col>16</xdr:col>
      <xdr:colOff>293914</xdr:colOff>
      <xdr:row>60</xdr:row>
      <xdr:rowOff>250372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/>
      </xdr:nvSpPr>
      <xdr:spPr>
        <a:xfrm>
          <a:off x="6063343" y="20007943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65316</xdr:colOff>
      <xdr:row>60</xdr:row>
      <xdr:rowOff>32658</xdr:rowOff>
    </xdr:from>
    <xdr:to>
      <xdr:col>21</xdr:col>
      <xdr:colOff>293916</xdr:colOff>
      <xdr:row>60</xdr:row>
      <xdr:rowOff>261258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SpPr/>
      </xdr:nvSpPr>
      <xdr:spPr>
        <a:xfrm>
          <a:off x="7881259" y="20018829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65316</xdr:colOff>
      <xdr:row>3</xdr:row>
      <xdr:rowOff>21772</xdr:rowOff>
    </xdr:from>
    <xdr:to>
      <xdr:col>12</xdr:col>
      <xdr:colOff>293916</xdr:colOff>
      <xdr:row>3</xdr:row>
      <xdr:rowOff>250372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/>
      </xdr:nvSpPr>
      <xdr:spPr>
        <a:xfrm>
          <a:off x="4648202" y="1328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65316</xdr:colOff>
      <xdr:row>3</xdr:row>
      <xdr:rowOff>21772</xdr:rowOff>
    </xdr:from>
    <xdr:to>
      <xdr:col>19</xdr:col>
      <xdr:colOff>293916</xdr:colOff>
      <xdr:row>3</xdr:row>
      <xdr:rowOff>250372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SpPr/>
      </xdr:nvSpPr>
      <xdr:spPr>
        <a:xfrm>
          <a:off x="7184573" y="1328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65316</xdr:colOff>
      <xdr:row>3</xdr:row>
      <xdr:rowOff>21772</xdr:rowOff>
    </xdr:from>
    <xdr:to>
      <xdr:col>26</xdr:col>
      <xdr:colOff>293916</xdr:colOff>
      <xdr:row>3</xdr:row>
      <xdr:rowOff>250372</xdr:rowOff>
    </xdr:to>
    <xdr:sp macro="" textlink="">
      <xdr:nvSpPr>
        <xdr:cNvPr id="75" name="Rectangle 74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/>
      </xdr:nvSpPr>
      <xdr:spPr>
        <a:xfrm>
          <a:off x="9622973" y="13280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65316</xdr:colOff>
      <xdr:row>4</xdr:row>
      <xdr:rowOff>21772</xdr:rowOff>
    </xdr:from>
    <xdr:to>
      <xdr:col>14</xdr:col>
      <xdr:colOff>293916</xdr:colOff>
      <xdr:row>4</xdr:row>
      <xdr:rowOff>250372</xdr:rowOff>
    </xdr:to>
    <xdr:sp macro="" textlink="">
      <xdr:nvSpPr>
        <xdr:cNvPr id="76" name="Rectangle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/>
      </xdr:nvSpPr>
      <xdr:spPr>
        <a:xfrm>
          <a:off x="5344887" y="16110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65316</xdr:colOff>
      <xdr:row>4</xdr:row>
      <xdr:rowOff>21772</xdr:rowOff>
    </xdr:from>
    <xdr:to>
      <xdr:col>21</xdr:col>
      <xdr:colOff>293916</xdr:colOff>
      <xdr:row>4</xdr:row>
      <xdr:rowOff>250372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/>
      </xdr:nvSpPr>
      <xdr:spPr>
        <a:xfrm>
          <a:off x="7881259" y="1611086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65316</xdr:colOff>
      <xdr:row>4</xdr:row>
      <xdr:rowOff>10886</xdr:rowOff>
    </xdr:from>
    <xdr:to>
      <xdr:col>28</xdr:col>
      <xdr:colOff>293916</xdr:colOff>
      <xdr:row>4</xdr:row>
      <xdr:rowOff>239486</xdr:rowOff>
    </xdr:to>
    <xdr:sp macro="" textlink="">
      <xdr:nvSpPr>
        <xdr:cNvPr id="78" name="Rectangle 77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/>
      </xdr:nvSpPr>
      <xdr:spPr>
        <a:xfrm>
          <a:off x="10319659" y="1600200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45</xdr:row>
          <xdr:rowOff>28575</xdr:rowOff>
        </xdr:from>
        <xdr:to>
          <xdr:col>15</xdr:col>
          <xdr:colOff>333375</xdr:colOff>
          <xdr:row>45</xdr:row>
          <xdr:rowOff>257175</xdr:rowOff>
        </xdr:to>
        <xdr:sp macro="" textlink="">
          <xdr:nvSpPr>
            <xdr:cNvPr id="13437" name="Check Box 125" hidden="1">
              <a:extLst>
                <a:ext uri="{63B3BB69-23CF-44E3-9099-C40C66FF867C}">
                  <a14:compatExt spid="_x0000_s13437"/>
                </a:ext>
                <a:ext uri="{FF2B5EF4-FFF2-40B4-BE49-F238E27FC236}">
                  <a16:creationId xmlns:a16="http://schemas.microsoft.com/office/drawing/2014/main" id="{00000000-0008-0000-0700-00007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104775</xdr:colOff>
          <xdr:row>45</xdr:row>
          <xdr:rowOff>9525</xdr:rowOff>
        </xdr:from>
        <xdr:to>
          <xdr:col>18</xdr:col>
          <xdr:colOff>352425</xdr:colOff>
          <xdr:row>45</xdr:row>
          <xdr:rowOff>238125</xdr:rowOff>
        </xdr:to>
        <xdr:sp macro="" textlink="">
          <xdr:nvSpPr>
            <xdr:cNvPr id="13438" name="Check Box 126" hidden="1">
              <a:extLst>
                <a:ext uri="{63B3BB69-23CF-44E3-9099-C40C66FF867C}">
                  <a14:compatExt spid="_x0000_s13438"/>
                </a:ext>
                <a:ext uri="{FF2B5EF4-FFF2-40B4-BE49-F238E27FC236}">
                  <a16:creationId xmlns:a16="http://schemas.microsoft.com/office/drawing/2014/main" id="{00000000-0008-0000-0700-00007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301881</xdr:colOff>
      <xdr:row>2</xdr:row>
      <xdr:rowOff>108061</xdr:rowOff>
    </xdr:to>
    <xdr:pic macro="[0]!user">
      <xdr:nvPicPr>
        <xdr:cNvPr id="2" name="Picture 1" descr="New Orion Logo w-drop shadow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253" t="4454" r="12028" b="11920"/>
        <a:stretch/>
      </xdr:blipFill>
      <xdr:spPr bwMode="auto">
        <a:xfrm>
          <a:off x="0" y="0"/>
          <a:ext cx="1284861" cy="999601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5</xdr:row>
          <xdr:rowOff>28575</xdr:rowOff>
        </xdr:from>
        <xdr:to>
          <xdr:col>2</xdr:col>
          <xdr:colOff>333375</xdr:colOff>
          <xdr:row>5</xdr:row>
          <xdr:rowOff>257175</xdr:rowOff>
        </xdr:to>
        <xdr:sp macro="" textlink="">
          <xdr:nvSpPr>
            <xdr:cNvPr id="15399" name="Check Box 39" hidden="1">
              <a:extLst>
                <a:ext uri="{63B3BB69-23CF-44E3-9099-C40C66FF867C}">
                  <a14:compatExt spid="_x0000_s15399"/>
                </a:ext>
                <a:ext uri="{FF2B5EF4-FFF2-40B4-BE49-F238E27FC236}">
                  <a16:creationId xmlns:a16="http://schemas.microsoft.com/office/drawing/2014/main" id="{00000000-0008-0000-0800-00002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5</xdr:row>
          <xdr:rowOff>28575</xdr:rowOff>
        </xdr:from>
        <xdr:to>
          <xdr:col>5</xdr:col>
          <xdr:colOff>352425</xdr:colOff>
          <xdr:row>5</xdr:row>
          <xdr:rowOff>257175</xdr:rowOff>
        </xdr:to>
        <xdr:sp macro="" textlink="">
          <xdr:nvSpPr>
            <xdr:cNvPr id="15401" name="Check Box 41" hidden="1">
              <a:extLst>
                <a:ext uri="{63B3BB69-23CF-44E3-9099-C40C66FF867C}">
                  <a14:compatExt spid="_x0000_s15401"/>
                </a:ext>
                <a:ext uri="{FF2B5EF4-FFF2-40B4-BE49-F238E27FC236}">
                  <a16:creationId xmlns:a16="http://schemas.microsoft.com/office/drawing/2014/main" id="{00000000-0008-0000-0800-00002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</xdr:col>
      <xdr:colOff>65316</xdr:colOff>
      <xdr:row>5</xdr:row>
      <xdr:rowOff>21772</xdr:rowOff>
    </xdr:from>
    <xdr:to>
      <xdr:col>2</xdr:col>
      <xdr:colOff>293916</xdr:colOff>
      <xdr:row>5</xdr:row>
      <xdr:rowOff>250372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707573" y="19376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97974</xdr:colOff>
      <xdr:row>5</xdr:row>
      <xdr:rowOff>21772</xdr:rowOff>
    </xdr:from>
    <xdr:to>
      <xdr:col>5</xdr:col>
      <xdr:colOff>326574</xdr:colOff>
      <xdr:row>5</xdr:row>
      <xdr:rowOff>250372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850574" y="1937658"/>
          <a:ext cx="228600" cy="2286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13" Type="http://schemas.openxmlformats.org/officeDocument/2006/relationships/ctrlProp" Target="../ctrlProps/ctrlProp3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3.xml"/><Relationship Id="rId12" Type="http://schemas.openxmlformats.org/officeDocument/2006/relationships/ctrlProp" Target="../ctrlProps/ctrlProp3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2.xml"/><Relationship Id="rId11" Type="http://schemas.openxmlformats.org/officeDocument/2006/relationships/ctrlProp" Target="../ctrlProps/ctrlProp37.xml"/><Relationship Id="rId5" Type="http://schemas.openxmlformats.org/officeDocument/2006/relationships/ctrlProp" Target="../ctrlProps/ctrlProp31.xml"/><Relationship Id="rId10" Type="http://schemas.openxmlformats.org/officeDocument/2006/relationships/ctrlProp" Target="../ctrlProps/ctrlProp36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13" Type="http://schemas.openxmlformats.org/officeDocument/2006/relationships/ctrlProp" Target="../ctrlProps/ctrlProp49.xml"/><Relationship Id="rId18" Type="http://schemas.openxmlformats.org/officeDocument/2006/relationships/ctrlProp" Target="../ctrlProps/ctrlProp5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7.xml"/><Relationship Id="rId7" Type="http://schemas.openxmlformats.org/officeDocument/2006/relationships/ctrlProp" Target="../ctrlProps/ctrlProp43.xml"/><Relationship Id="rId12" Type="http://schemas.openxmlformats.org/officeDocument/2006/relationships/ctrlProp" Target="../ctrlProps/ctrlProp48.xml"/><Relationship Id="rId17" Type="http://schemas.openxmlformats.org/officeDocument/2006/relationships/ctrlProp" Target="../ctrlProps/ctrlProp5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52.xml"/><Relationship Id="rId20" Type="http://schemas.openxmlformats.org/officeDocument/2006/relationships/ctrlProp" Target="../ctrlProps/ctrlProp5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2.xml"/><Relationship Id="rId11" Type="http://schemas.openxmlformats.org/officeDocument/2006/relationships/ctrlProp" Target="../ctrlProps/ctrlProp47.xml"/><Relationship Id="rId24" Type="http://schemas.openxmlformats.org/officeDocument/2006/relationships/ctrlProp" Target="../ctrlProps/ctrlProp60.xml"/><Relationship Id="rId5" Type="http://schemas.openxmlformats.org/officeDocument/2006/relationships/ctrlProp" Target="../ctrlProps/ctrlProp41.xml"/><Relationship Id="rId15" Type="http://schemas.openxmlformats.org/officeDocument/2006/relationships/ctrlProp" Target="../ctrlProps/ctrlProp51.xml"/><Relationship Id="rId23" Type="http://schemas.openxmlformats.org/officeDocument/2006/relationships/ctrlProp" Target="../ctrlProps/ctrlProp59.xml"/><Relationship Id="rId10" Type="http://schemas.openxmlformats.org/officeDocument/2006/relationships/ctrlProp" Target="../ctrlProps/ctrlProp46.xml"/><Relationship Id="rId19" Type="http://schemas.openxmlformats.org/officeDocument/2006/relationships/ctrlProp" Target="../ctrlProps/ctrlProp55.xml"/><Relationship Id="rId4" Type="http://schemas.openxmlformats.org/officeDocument/2006/relationships/ctrlProp" Target="../ctrlProps/ctrlProp40.xml"/><Relationship Id="rId9" Type="http://schemas.openxmlformats.org/officeDocument/2006/relationships/ctrlProp" Target="../ctrlProps/ctrlProp45.xml"/><Relationship Id="rId14" Type="http://schemas.openxmlformats.org/officeDocument/2006/relationships/ctrlProp" Target="../ctrlProps/ctrlProp50.xml"/><Relationship Id="rId22" Type="http://schemas.openxmlformats.org/officeDocument/2006/relationships/ctrlProp" Target="../ctrlProps/ctrlProp5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3.xml"/><Relationship Id="rId18" Type="http://schemas.openxmlformats.org/officeDocument/2006/relationships/ctrlProp" Target="../ctrlProps/ctrlProp78.xml"/><Relationship Id="rId26" Type="http://schemas.openxmlformats.org/officeDocument/2006/relationships/ctrlProp" Target="../ctrlProps/ctrlProp86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81.xml"/><Relationship Id="rId34" Type="http://schemas.openxmlformats.org/officeDocument/2006/relationships/ctrlProp" Target="../ctrlProps/ctrlProp94.xml"/><Relationship Id="rId7" Type="http://schemas.openxmlformats.org/officeDocument/2006/relationships/ctrlProp" Target="../ctrlProps/ctrlProp67.xml"/><Relationship Id="rId12" Type="http://schemas.openxmlformats.org/officeDocument/2006/relationships/ctrlProp" Target="../ctrlProps/ctrlProp72.xml"/><Relationship Id="rId17" Type="http://schemas.openxmlformats.org/officeDocument/2006/relationships/ctrlProp" Target="../ctrlProps/ctrlProp77.xml"/><Relationship Id="rId25" Type="http://schemas.openxmlformats.org/officeDocument/2006/relationships/ctrlProp" Target="../ctrlProps/ctrlProp85.xml"/><Relationship Id="rId33" Type="http://schemas.openxmlformats.org/officeDocument/2006/relationships/ctrlProp" Target="../ctrlProps/ctrlProp9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76.xml"/><Relationship Id="rId20" Type="http://schemas.openxmlformats.org/officeDocument/2006/relationships/ctrlProp" Target="../ctrlProps/ctrlProp80.xml"/><Relationship Id="rId29" Type="http://schemas.openxmlformats.org/officeDocument/2006/relationships/ctrlProp" Target="../ctrlProps/ctrlProp8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6.xml"/><Relationship Id="rId11" Type="http://schemas.openxmlformats.org/officeDocument/2006/relationships/ctrlProp" Target="../ctrlProps/ctrlProp71.xml"/><Relationship Id="rId24" Type="http://schemas.openxmlformats.org/officeDocument/2006/relationships/ctrlProp" Target="../ctrlProps/ctrlProp84.xml"/><Relationship Id="rId32" Type="http://schemas.openxmlformats.org/officeDocument/2006/relationships/ctrlProp" Target="../ctrlProps/ctrlProp92.xml"/><Relationship Id="rId5" Type="http://schemas.openxmlformats.org/officeDocument/2006/relationships/ctrlProp" Target="../ctrlProps/ctrlProp65.xml"/><Relationship Id="rId15" Type="http://schemas.openxmlformats.org/officeDocument/2006/relationships/ctrlProp" Target="../ctrlProps/ctrlProp75.xml"/><Relationship Id="rId23" Type="http://schemas.openxmlformats.org/officeDocument/2006/relationships/ctrlProp" Target="../ctrlProps/ctrlProp83.xml"/><Relationship Id="rId28" Type="http://schemas.openxmlformats.org/officeDocument/2006/relationships/ctrlProp" Target="../ctrlProps/ctrlProp88.xml"/><Relationship Id="rId10" Type="http://schemas.openxmlformats.org/officeDocument/2006/relationships/ctrlProp" Target="../ctrlProps/ctrlProp70.xml"/><Relationship Id="rId19" Type="http://schemas.openxmlformats.org/officeDocument/2006/relationships/ctrlProp" Target="../ctrlProps/ctrlProp79.xml"/><Relationship Id="rId31" Type="http://schemas.openxmlformats.org/officeDocument/2006/relationships/ctrlProp" Target="../ctrlProps/ctrlProp91.xml"/><Relationship Id="rId4" Type="http://schemas.openxmlformats.org/officeDocument/2006/relationships/ctrlProp" Target="../ctrlProps/ctrlProp64.xml"/><Relationship Id="rId9" Type="http://schemas.openxmlformats.org/officeDocument/2006/relationships/ctrlProp" Target="../ctrlProps/ctrlProp69.xml"/><Relationship Id="rId14" Type="http://schemas.openxmlformats.org/officeDocument/2006/relationships/ctrlProp" Target="../ctrlProps/ctrlProp74.xml"/><Relationship Id="rId22" Type="http://schemas.openxmlformats.org/officeDocument/2006/relationships/ctrlProp" Target="../ctrlProps/ctrlProp82.xml"/><Relationship Id="rId27" Type="http://schemas.openxmlformats.org/officeDocument/2006/relationships/ctrlProp" Target="../ctrlProps/ctrlProp87.xml"/><Relationship Id="rId30" Type="http://schemas.openxmlformats.org/officeDocument/2006/relationships/ctrlProp" Target="../ctrlProps/ctrlProp90.xml"/><Relationship Id="rId35" Type="http://schemas.openxmlformats.org/officeDocument/2006/relationships/ctrlProp" Target="../ctrlProps/ctrlProp95.xml"/><Relationship Id="rId8" Type="http://schemas.openxmlformats.org/officeDocument/2006/relationships/ctrlProp" Target="../ctrlProps/ctrlProp68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5.xml"/><Relationship Id="rId18" Type="http://schemas.openxmlformats.org/officeDocument/2006/relationships/ctrlProp" Target="../ctrlProps/ctrlProp110.xml"/><Relationship Id="rId26" Type="http://schemas.openxmlformats.org/officeDocument/2006/relationships/ctrlProp" Target="../ctrlProps/ctrlProp118.xml"/><Relationship Id="rId39" Type="http://schemas.openxmlformats.org/officeDocument/2006/relationships/ctrlProp" Target="../ctrlProps/ctrlProp131.xml"/><Relationship Id="rId21" Type="http://schemas.openxmlformats.org/officeDocument/2006/relationships/ctrlProp" Target="../ctrlProps/ctrlProp113.xml"/><Relationship Id="rId34" Type="http://schemas.openxmlformats.org/officeDocument/2006/relationships/ctrlProp" Target="../ctrlProps/ctrlProp126.xml"/><Relationship Id="rId42" Type="http://schemas.openxmlformats.org/officeDocument/2006/relationships/ctrlProp" Target="../ctrlProps/ctrlProp134.xml"/><Relationship Id="rId47" Type="http://schemas.openxmlformats.org/officeDocument/2006/relationships/ctrlProp" Target="../ctrlProps/ctrlProp139.xml"/><Relationship Id="rId7" Type="http://schemas.openxmlformats.org/officeDocument/2006/relationships/ctrlProp" Target="../ctrlProps/ctrlProp99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108.xml"/><Relationship Id="rId29" Type="http://schemas.openxmlformats.org/officeDocument/2006/relationships/ctrlProp" Target="../ctrlProps/ctrlProp12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98.xml"/><Relationship Id="rId11" Type="http://schemas.openxmlformats.org/officeDocument/2006/relationships/ctrlProp" Target="../ctrlProps/ctrlProp103.xml"/><Relationship Id="rId24" Type="http://schemas.openxmlformats.org/officeDocument/2006/relationships/ctrlProp" Target="../ctrlProps/ctrlProp116.xml"/><Relationship Id="rId32" Type="http://schemas.openxmlformats.org/officeDocument/2006/relationships/ctrlProp" Target="../ctrlProps/ctrlProp124.xml"/><Relationship Id="rId37" Type="http://schemas.openxmlformats.org/officeDocument/2006/relationships/ctrlProp" Target="../ctrlProps/ctrlProp129.xml"/><Relationship Id="rId40" Type="http://schemas.openxmlformats.org/officeDocument/2006/relationships/ctrlProp" Target="../ctrlProps/ctrlProp132.xml"/><Relationship Id="rId45" Type="http://schemas.openxmlformats.org/officeDocument/2006/relationships/ctrlProp" Target="../ctrlProps/ctrlProp137.xml"/><Relationship Id="rId5" Type="http://schemas.openxmlformats.org/officeDocument/2006/relationships/ctrlProp" Target="../ctrlProps/ctrlProp97.xml"/><Relationship Id="rId15" Type="http://schemas.openxmlformats.org/officeDocument/2006/relationships/ctrlProp" Target="../ctrlProps/ctrlProp107.xml"/><Relationship Id="rId23" Type="http://schemas.openxmlformats.org/officeDocument/2006/relationships/ctrlProp" Target="../ctrlProps/ctrlProp115.xml"/><Relationship Id="rId28" Type="http://schemas.openxmlformats.org/officeDocument/2006/relationships/ctrlProp" Target="../ctrlProps/ctrlProp120.xml"/><Relationship Id="rId36" Type="http://schemas.openxmlformats.org/officeDocument/2006/relationships/ctrlProp" Target="../ctrlProps/ctrlProp128.xml"/><Relationship Id="rId10" Type="http://schemas.openxmlformats.org/officeDocument/2006/relationships/ctrlProp" Target="../ctrlProps/ctrlProp102.xml"/><Relationship Id="rId19" Type="http://schemas.openxmlformats.org/officeDocument/2006/relationships/ctrlProp" Target="../ctrlProps/ctrlProp111.xml"/><Relationship Id="rId31" Type="http://schemas.openxmlformats.org/officeDocument/2006/relationships/ctrlProp" Target="../ctrlProps/ctrlProp123.xml"/><Relationship Id="rId44" Type="http://schemas.openxmlformats.org/officeDocument/2006/relationships/ctrlProp" Target="../ctrlProps/ctrlProp136.xml"/><Relationship Id="rId4" Type="http://schemas.openxmlformats.org/officeDocument/2006/relationships/ctrlProp" Target="../ctrlProps/ctrlProp96.xml"/><Relationship Id="rId9" Type="http://schemas.openxmlformats.org/officeDocument/2006/relationships/ctrlProp" Target="../ctrlProps/ctrlProp101.xml"/><Relationship Id="rId14" Type="http://schemas.openxmlformats.org/officeDocument/2006/relationships/ctrlProp" Target="../ctrlProps/ctrlProp106.xml"/><Relationship Id="rId22" Type="http://schemas.openxmlformats.org/officeDocument/2006/relationships/ctrlProp" Target="../ctrlProps/ctrlProp114.xml"/><Relationship Id="rId27" Type="http://schemas.openxmlformats.org/officeDocument/2006/relationships/ctrlProp" Target="../ctrlProps/ctrlProp119.xml"/><Relationship Id="rId30" Type="http://schemas.openxmlformats.org/officeDocument/2006/relationships/ctrlProp" Target="../ctrlProps/ctrlProp122.xml"/><Relationship Id="rId35" Type="http://schemas.openxmlformats.org/officeDocument/2006/relationships/ctrlProp" Target="../ctrlProps/ctrlProp127.xml"/><Relationship Id="rId43" Type="http://schemas.openxmlformats.org/officeDocument/2006/relationships/ctrlProp" Target="../ctrlProps/ctrlProp135.xml"/><Relationship Id="rId8" Type="http://schemas.openxmlformats.org/officeDocument/2006/relationships/ctrlProp" Target="../ctrlProps/ctrlProp100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104.xml"/><Relationship Id="rId17" Type="http://schemas.openxmlformats.org/officeDocument/2006/relationships/ctrlProp" Target="../ctrlProps/ctrlProp109.xml"/><Relationship Id="rId25" Type="http://schemas.openxmlformats.org/officeDocument/2006/relationships/ctrlProp" Target="../ctrlProps/ctrlProp117.xml"/><Relationship Id="rId33" Type="http://schemas.openxmlformats.org/officeDocument/2006/relationships/ctrlProp" Target="../ctrlProps/ctrlProp125.xml"/><Relationship Id="rId38" Type="http://schemas.openxmlformats.org/officeDocument/2006/relationships/ctrlProp" Target="../ctrlProps/ctrlProp130.xml"/><Relationship Id="rId46" Type="http://schemas.openxmlformats.org/officeDocument/2006/relationships/ctrlProp" Target="../ctrlProps/ctrlProp138.xml"/><Relationship Id="rId20" Type="http://schemas.openxmlformats.org/officeDocument/2006/relationships/ctrlProp" Target="../ctrlProps/ctrlProp112.xml"/><Relationship Id="rId41" Type="http://schemas.openxmlformats.org/officeDocument/2006/relationships/ctrlProp" Target="../ctrlProps/ctrlProp133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9.xml"/><Relationship Id="rId18" Type="http://schemas.openxmlformats.org/officeDocument/2006/relationships/ctrlProp" Target="../ctrlProps/ctrlProp154.xml"/><Relationship Id="rId26" Type="http://schemas.openxmlformats.org/officeDocument/2006/relationships/ctrlProp" Target="../ctrlProps/ctrlProp162.xml"/><Relationship Id="rId39" Type="http://schemas.openxmlformats.org/officeDocument/2006/relationships/ctrlProp" Target="../ctrlProps/ctrlProp175.xml"/><Relationship Id="rId21" Type="http://schemas.openxmlformats.org/officeDocument/2006/relationships/ctrlProp" Target="../ctrlProps/ctrlProp157.xml"/><Relationship Id="rId34" Type="http://schemas.openxmlformats.org/officeDocument/2006/relationships/ctrlProp" Target="../ctrlProps/ctrlProp170.xml"/><Relationship Id="rId7" Type="http://schemas.openxmlformats.org/officeDocument/2006/relationships/ctrlProp" Target="../ctrlProps/ctrlProp143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152.xml"/><Relationship Id="rId20" Type="http://schemas.openxmlformats.org/officeDocument/2006/relationships/ctrlProp" Target="../ctrlProps/ctrlProp156.xml"/><Relationship Id="rId29" Type="http://schemas.openxmlformats.org/officeDocument/2006/relationships/ctrlProp" Target="../ctrlProps/ctrlProp165.xml"/><Relationship Id="rId41" Type="http://schemas.openxmlformats.org/officeDocument/2006/relationships/ctrlProp" Target="../ctrlProps/ctrlProp17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42.xml"/><Relationship Id="rId11" Type="http://schemas.openxmlformats.org/officeDocument/2006/relationships/ctrlProp" Target="../ctrlProps/ctrlProp147.xml"/><Relationship Id="rId24" Type="http://schemas.openxmlformats.org/officeDocument/2006/relationships/ctrlProp" Target="../ctrlProps/ctrlProp160.xml"/><Relationship Id="rId32" Type="http://schemas.openxmlformats.org/officeDocument/2006/relationships/ctrlProp" Target="../ctrlProps/ctrlProp168.xml"/><Relationship Id="rId37" Type="http://schemas.openxmlformats.org/officeDocument/2006/relationships/ctrlProp" Target="../ctrlProps/ctrlProp173.xml"/><Relationship Id="rId40" Type="http://schemas.openxmlformats.org/officeDocument/2006/relationships/ctrlProp" Target="../ctrlProps/ctrlProp176.xml"/><Relationship Id="rId5" Type="http://schemas.openxmlformats.org/officeDocument/2006/relationships/ctrlProp" Target="../ctrlProps/ctrlProp141.xml"/><Relationship Id="rId15" Type="http://schemas.openxmlformats.org/officeDocument/2006/relationships/ctrlProp" Target="../ctrlProps/ctrlProp151.xml"/><Relationship Id="rId23" Type="http://schemas.openxmlformats.org/officeDocument/2006/relationships/ctrlProp" Target="../ctrlProps/ctrlProp159.xml"/><Relationship Id="rId28" Type="http://schemas.openxmlformats.org/officeDocument/2006/relationships/ctrlProp" Target="../ctrlProps/ctrlProp164.xml"/><Relationship Id="rId36" Type="http://schemas.openxmlformats.org/officeDocument/2006/relationships/ctrlProp" Target="../ctrlProps/ctrlProp172.xml"/><Relationship Id="rId10" Type="http://schemas.openxmlformats.org/officeDocument/2006/relationships/ctrlProp" Target="../ctrlProps/ctrlProp146.xml"/><Relationship Id="rId19" Type="http://schemas.openxmlformats.org/officeDocument/2006/relationships/ctrlProp" Target="../ctrlProps/ctrlProp155.xml"/><Relationship Id="rId31" Type="http://schemas.openxmlformats.org/officeDocument/2006/relationships/ctrlProp" Target="../ctrlProps/ctrlProp167.xml"/><Relationship Id="rId4" Type="http://schemas.openxmlformats.org/officeDocument/2006/relationships/ctrlProp" Target="../ctrlProps/ctrlProp140.xml"/><Relationship Id="rId9" Type="http://schemas.openxmlformats.org/officeDocument/2006/relationships/ctrlProp" Target="../ctrlProps/ctrlProp145.xml"/><Relationship Id="rId14" Type="http://schemas.openxmlformats.org/officeDocument/2006/relationships/ctrlProp" Target="../ctrlProps/ctrlProp150.xml"/><Relationship Id="rId22" Type="http://schemas.openxmlformats.org/officeDocument/2006/relationships/ctrlProp" Target="../ctrlProps/ctrlProp158.xml"/><Relationship Id="rId27" Type="http://schemas.openxmlformats.org/officeDocument/2006/relationships/ctrlProp" Target="../ctrlProps/ctrlProp163.xml"/><Relationship Id="rId30" Type="http://schemas.openxmlformats.org/officeDocument/2006/relationships/ctrlProp" Target="../ctrlProps/ctrlProp166.xml"/><Relationship Id="rId35" Type="http://schemas.openxmlformats.org/officeDocument/2006/relationships/ctrlProp" Target="../ctrlProps/ctrlProp171.xml"/><Relationship Id="rId8" Type="http://schemas.openxmlformats.org/officeDocument/2006/relationships/ctrlProp" Target="../ctrlProps/ctrlProp144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148.xml"/><Relationship Id="rId17" Type="http://schemas.openxmlformats.org/officeDocument/2006/relationships/ctrlProp" Target="../ctrlProps/ctrlProp153.xml"/><Relationship Id="rId25" Type="http://schemas.openxmlformats.org/officeDocument/2006/relationships/ctrlProp" Target="../ctrlProps/ctrlProp161.xml"/><Relationship Id="rId33" Type="http://schemas.openxmlformats.org/officeDocument/2006/relationships/ctrlProp" Target="../ctrlProps/ctrlProp169.xml"/><Relationship Id="rId38" Type="http://schemas.openxmlformats.org/officeDocument/2006/relationships/ctrlProp" Target="../ctrlProps/ctrlProp17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79.xml"/><Relationship Id="rId4" Type="http://schemas.openxmlformats.org/officeDocument/2006/relationships/ctrlProp" Target="../ctrlProps/ctrlProp17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69CB9-6F47-4FAE-9983-111C38D5E5FC}">
  <sheetPr codeName="Sheet1">
    <tabColor theme="5" tint="-0.249977111117893"/>
    <pageSetUpPr fitToPage="1"/>
  </sheetPr>
  <dimension ref="A1:AI59"/>
  <sheetViews>
    <sheetView showGridLines="0" tabSelected="1" zoomScaleNormal="100" workbookViewId="0">
      <selection activeCell="N5" sqref="N5:R5"/>
    </sheetView>
  </sheetViews>
  <sheetFormatPr defaultColWidth="8.85546875" defaultRowHeight="12.75" x14ac:dyDescent="0.2"/>
  <cols>
    <col min="1" max="1" width="4.85546875" style="2" customWidth="1"/>
    <col min="2" max="2" width="6.85546875" style="2" customWidth="1"/>
    <col min="3" max="7" width="5.7109375" style="2" customWidth="1"/>
    <col min="8" max="8" width="10.85546875" style="2" customWidth="1"/>
    <col min="9" max="17" width="5.7109375" style="2" customWidth="1"/>
    <col min="18" max="18" width="6.42578125" style="2" customWidth="1"/>
    <col min="19" max="23" width="5.7109375" style="2" customWidth="1"/>
    <col min="24" max="24" width="8.42578125" style="2" customWidth="1"/>
    <col min="25" max="34" width="4.28515625" style="2" customWidth="1"/>
    <col min="35" max="16384" width="8.85546875" style="2"/>
  </cols>
  <sheetData>
    <row r="1" spans="1:29" x14ac:dyDescent="0.2">
      <c r="A1" s="118" t="str">
        <f ca="1">"Company Profile  "&amp;TEXT(TODAY(),"mm-dd-yyyy")</f>
        <v>Company Profile  08-05-2022</v>
      </c>
      <c r="B1" s="138"/>
    </row>
    <row r="3" spans="1:29" ht="40.35" customHeight="1" thickBot="1" x14ac:dyDescent="0.25">
      <c r="G3" s="13" t="s">
        <v>0</v>
      </c>
    </row>
    <row r="4" spans="1:29" s="5" customFormat="1" ht="80.45" customHeight="1" thickTop="1" thickBot="1" x14ac:dyDescent="0.3">
      <c r="A4" s="181" t="s">
        <v>1</v>
      </c>
      <c r="B4" s="181"/>
      <c r="C4" s="181"/>
      <c r="D4" s="181"/>
      <c r="E4" s="181"/>
      <c r="F4" s="198" t="s">
        <v>421</v>
      </c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200"/>
      <c r="S4" s="181" t="s">
        <v>2</v>
      </c>
      <c r="T4" s="181"/>
      <c r="U4" s="201">
        <v>44746</v>
      </c>
      <c r="V4" s="201"/>
      <c r="W4" s="201"/>
      <c r="X4" s="201"/>
      <c r="AC4" s="104"/>
    </row>
    <row r="5" spans="1:29" s="5" customFormat="1" ht="74.45" customHeight="1" thickTop="1" thickBot="1" x14ac:dyDescent="0.3">
      <c r="A5" s="181" t="s">
        <v>3</v>
      </c>
      <c r="B5" s="181"/>
      <c r="C5" s="186" t="s">
        <v>440</v>
      </c>
      <c r="D5" s="179"/>
      <c r="E5" s="179"/>
      <c r="F5" s="179"/>
      <c r="G5" s="179"/>
      <c r="H5" s="179"/>
      <c r="I5" s="179"/>
      <c r="J5" s="179"/>
      <c r="K5" s="179"/>
      <c r="L5" s="181" t="s">
        <v>4</v>
      </c>
      <c r="M5" s="181"/>
      <c r="N5" s="183"/>
      <c r="O5" s="184"/>
      <c r="P5" s="184"/>
      <c r="Q5" s="184"/>
      <c r="R5" s="185"/>
      <c r="S5" s="181" t="s">
        <v>5</v>
      </c>
      <c r="T5" s="181"/>
      <c r="U5" s="180" t="s">
        <v>425</v>
      </c>
      <c r="V5" s="180"/>
      <c r="W5" s="180"/>
      <c r="X5" s="180"/>
    </row>
    <row r="6" spans="1:29" s="5" customFormat="1" ht="25.35" customHeight="1" thickTop="1" thickBot="1" x14ac:dyDescent="0.3">
      <c r="A6" s="181" t="s">
        <v>6</v>
      </c>
      <c r="B6" s="181"/>
      <c r="C6" s="179" t="s">
        <v>422</v>
      </c>
      <c r="D6" s="180"/>
      <c r="E6" s="180"/>
      <c r="F6" s="180"/>
      <c r="G6" s="180"/>
      <c r="H6" s="180"/>
      <c r="I6" s="180"/>
      <c r="J6" s="180"/>
      <c r="K6" s="180"/>
      <c r="L6" s="181" t="s">
        <v>7</v>
      </c>
      <c r="M6" s="181"/>
      <c r="N6" s="183" t="s">
        <v>423</v>
      </c>
      <c r="O6" s="184"/>
      <c r="P6" s="184"/>
      <c r="Q6" s="184"/>
      <c r="R6" s="185"/>
      <c r="S6" s="181" t="s">
        <v>8</v>
      </c>
      <c r="T6" s="181"/>
      <c r="U6" s="180"/>
      <c r="V6" s="180"/>
      <c r="W6" s="180"/>
      <c r="X6" s="180"/>
    </row>
    <row r="7" spans="1:29" s="5" customFormat="1" ht="25.35" customHeight="1" thickTop="1" thickBot="1" x14ac:dyDescent="0.3">
      <c r="A7" s="181" t="s">
        <v>9</v>
      </c>
      <c r="B7" s="181"/>
      <c r="C7" s="180">
        <v>32630</v>
      </c>
      <c r="D7" s="180"/>
      <c r="E7" s="180"/>
      <c r="F7" s="180"/>
      <c r="G7" s="180"/>
      <c r="H7" s="180"/>
      <c r="I7" s="180"/>
      <c r="J7" s="180"/>
      <c r="K7" s="180"/>
      <c r="L7" s="181" t="s">
        <v>10</v>
      </c>
      <c r="M7" s="181"/>
      <c r="N7" s="183" t="s">
        <v>424</v>
      </c>
      <c r="O7" s="184"/>
      <c r="P7" s="184"/>
      <c r="Q7" s="184"/>
      <c r="R7" s="185"/>
      <c r="S7" s="181" t="s">
        <v>11</v>
      </c>
      <c r="T7" s="181"/>
      <c r="U7" s="182" t="s">
        <v>426</v>
      </c>
      <c r="V7" s="179"/>
      <c r="W7" s="179"/>
      <c r="X7" s="179"/>
      <c r="Y7" s="6"/>
      <c r="Z7" s="6"/>
    </row>
    <row r="8" spans="1:29" ht="35.450000000000003" customHeight="1" thickTop="1" thickBot="1" x14ac:dyDescent="0.35">
      <c r="A8" s="187" t="s">
        <v>12</v>
      </c>
      <c r="B8" s="188"/>
      <c r="C8" s="188"/>
      <c r="D8" s="188"/>
      <c r="E8" s="188"/>
      <c r="F8" s="188"/>
      <c r="G8" s="188"/>
      <c r="H8" s="188"/>
      <c r="I8" s="188"/>
      <c r="J8" s="188"/>
      <c r="K8" s="189" t="s">
        <v>427</v>
      </c>
      <c r="L8" s="189"/>
      <c r="M8" s="189"/>
      <c r="N8" s="189"/>
      <c r="O8" s="189"/>
      <c r="P8" s="189"/>
      <c r="Q8" s="189"/>
      <c r="R8" s="190"/>
      <c r="S8" s="181" t="s">
        <v>13</v>
      </c>
      <c r="T8" s="181"/>
      <c r="U8" s="182" t="s">
        <v>428</v>
      </c>
      <c r="V8" s="179"/>
      <c r="W8" s="179"/>
      <c r="X8" s="179"/>
      <c r="Y8" s="136"/>
      <c r="Z8" s="136"/>
    </row>
    <row r="9" spans="1:29" ht="23.45" customHeight="1" thickTop="1" x14ac:dyDescent="0.2">
      <c r="A9" s="191" t="s">
        <v>14</v>
      </c>
      <c r="B9" s="192"/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192"/>
      <c r="O9" s="192"/>
      <c r="P9" s="192"/>
      <c r="Q9" s="192"/>
      <c r="R9" s="192"/>
      <c r="S9" s="192"/>
      <c r="T9" s="192"/>
      <c r="U9" s="192"/>
      <c r="V9" s="192"/>
      <c r="W9" s="192"/>
      <c r="X9" s="193"/>
      <c r="Y9" s="136"/>
      <c r="Z9" s="136"/>
    </row>
    <row r="10" spans="1:29" s="147" customFormat="1" ht="21" customHeight="1" thickBot="1" x14ac:dyDescent="0.3">
      <c r="A10" s="194" t="s">
        <v>15</v>
      </c>
      <c r="B10" s="195"/>
      <c r="C10" s="196" t="s">
        <v>428</v>
      </c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7"/>
    </row>
    <row r="11" spans="1:29" ht="4.3499999999999996" customHeight="1" thickTop="1" x14ac:dyDescent="0.2"/>
    <row r="12" spans="1:29" ht="21" customHeight="1" x14ac:dyDescent="0.2">
      <c r="A12" s="3" t="s">
        <v>16</v>
      </c>
    </row>
    <row r="13" spans="1:29" s="5" customFormat="1" ht="29.45" customHeight="1" x14ac:dyDescent="0.25">
      <c r="A13" s="105">
        <f>IF(COUNTIF(B13:X15,"P")=0,"",COUNTIF(B13:X15,"P"))</f>
        <v>1</v>
      </c>
      <c r="B13" s="119" t="str">
        <f>IF(CONTROLS!B2=TRUE,"P","")</f>
        <v/>
      </c>
      <c r="C13" s="158" t="s">
        <v>17</v>
      </c>
      <c r="D13" s="158"/>
      <c r="E13" s="158"/>
      <c r="F13" s="158"/>
      <c r="G13" s="158"/>
      <c r="H13" s="159"/>
      <c r="I13" s="119" t="str">
        <f>IF(CONTROLS!B5=TRUE,"P","")</f>
        <v/>
      </c>
      <c r="J13" s="158" t="s">
        <v>18</v>
      </c>
      <c r="K13" s="158"/>
      <c r="L13" s="158"/>
      <c r="M13" s="159"/>
      <c r="N13" s="119" t="str">
        <f>IF(CONTROLS!B8=TRUE,"P","")</f>
        <v/>
      </c>
      <c r="O13" s="158" t="s">
        <v>19</v>
      </c>
      <c r="P13" s="158"/>
      <c r="Q13" s="158"/>
      <c r="R13" s="159"/>
      <c r="S13" s="119" t="str">
        <f>IF(CONTROLS!B11=TRUE,"P","")</f>
        <v/>
      </c>
      <c r="T13" s="158" t="s">
        <v>20</v>
      </c>
      <c r="U13" s="158"/>
      <c r="V13" s="158"/>
      <c r="W13" s="158"/>
      <c r="X13" s="159"/>
    </row>
    <row r="14" spans="1:29" ht="29.45" customHeight="1" x14ac:dyDescent="0.2">
      <c r="B14" s="119" t="str">
        <f>IF(CONTROLS!B3=TRUE,"P","")</f>
        <v>P</v>
      </c>
      <c r="C14" s="158" t="s">
        <v>21</v>
      </c>
      <c r="D14" s="158"/>
      <c r="E14" s="158"/>
      <c r="F14" s="158"/>
      <c r="G14" s="158"/>
      <c r="H14" s="159"/>
      <c r="I14" s="119" t="str">
        <f>IF(CONTROLS!B6=TRUE,"P","")</f>
        <v/>
      </c>
      <c r="J14" s="158" t="s">
        <v>22</v>
      </c>
      <c r="K14" s="158"/>
      <c r="L14" s="158"/>
      <c r="M14" s="159"/>
      <c r="N14" s="119" t="str">
        <f>IF(CONTROLS!B9=TRUE,"P","")</f>
        <v/>
      </c>
      <c r="O14" s="158" t="s">
        <v>23</v>
      </c>
      <c r="P14" s="158"/>
      <c r="Q14" s="158"/>
      <c r="R14" s="159"/>
      <c r="S14" s="119" t="str">
        <f>IF(CONTROLS!B12=TRUE,"P","")</f>
        <v/>
      </c>
      <c r="T14" s="9" t="s">
        <v>24</v>
      </c>
      <c r="U14" s="9"/>
      <c r="V14" s="160"/>
      <c r="W14" s="160"/>
      <c r="X14" s="161"/>
    </row>
    <row r="15" spans="1:29" ht="29.45" hidden="1" customHeight="1" x14ac:dyDescent="0.2">
      <c r="B15" s="119" t="str">
        <f>IF(CONTROLS!B4=TRUE,"P","")</f>
        <v/>
      </c>
      <c r="C15" s="158"/>
      <c r="D15" s="158"/>
      <c r="E15" s="158"/>
      <c r="F15" s="158"/>
      <c r="G15" s="158"/>
      <c r="H15" s="159"/>
      <c r="I15" s="119"/>
      <c r="J15" s="158"/>
      <c r="K15" s="158"/>
      <c r="L15" s="158"/>
      <c r="M15" s="159"/>
      <c r="N15" s="119"/>
      <c r="O15" s="158"/>
      <c r="P15" s="158"/>
      <c r="Q15" s="158"/>
      <c r="R15" s="159"/>
      <c r="S15" s="119"/>
      <c r="T15" s="9"/>
      <c r="U15" s="9"/>
      <c r="V15" s="160"/>
      <c r="W15" s="160"/>
      <c r="X15" s="161"/>
    </row>
    <row r="16" spans="1:29" ht="25.7" customHeight="1" x14ac:dyDescent="0.2">
      <c r="B16" s="173" t="s">
        <v>25</v>
      </c>
      <c r="C16" s="174"/>
      <c r="D16" s="174"/>
      <c r="E16" s="174"/>
      <c r="F16" s="174"/>
      <c r="G16" s="174"/>
      <c r="H16" s="174"/>
      <c r="I16" s="174"/>
      <c r="J16" s="174"/>
      <c r="K16" s="174"/>
      <c r="L16" s="174"/>
      <c r="M16" s="174"/>
      <c r="N16" s="174"/>
      <c r="O16" s="174"/>
      <c r="P16" s="174"/>
      <c r="Q16" s="174"/>
      <c r="R16" s="174"/>
      <c r="S16" s="174"/>
      <c r="T16" s="174"/>
      <c r="U16" s="174"/>
      <c r="V16" s="174"/>
      <c r="W16" s="174"/>
      <c r="X16" s="175"/>
    </row>
    <row r="17" spans="1:24" ht="18" customHeight="1" x14ac:dyDescent="0.2">
      <c r="B17" s="176"/>
      <c r="C17" s="177"/>
      <c r="D17" s="177"/>
      <c r="E17" s="177"/>
      <c r="F17" s="177"/>
      <c r="G17" s="177"/>
      <c r="H17" s="177"/>
      <c r="I17" s="177"/>
      <c r="J17" s="177"/>
      <c r="K17" s="177"/>
      <c r="L17" s="177"/>
      <c r="M17" s="177"/>
      <c r="N17" s="177"/>
      <c r="O17" s="177"/>
      <c r="P17" s="177"/>
      <c r="Q17" s="177"/>
      <c r="R17" s="177"/>
      <c r="S17" s="177"/>
      <c r="T17" s="177"/>
      <c r="U17" s="177"/>
      <c r="V17" s="177"/>
      <c r="W17" s="177"/>
      <c r="X17" s="178"/>
    </row>
    <row r="18" spans="1:24" ht="10.35" customHeight="1" x14ac:dyDescent="0.2"/>
    <row r="19" spans="1:24" ht="22.5" x14ac:dyDescent="0.2">
      <c r="A19" s="3" t="s">
        <v>26</v>
      </c>
    </row>
    <row r="20" spans="1:24" s="6" customFormat="1" ht="20.45" customHeight="1" x14ac:dyDescent="0.25">
      <c r="A20" s="105">
        <f>IF(COUNTIF(B20:X23,"P")=0,"",COUNTIF(B20:X23,"P"))</f>
        <v>1</v>
      </c>
      <c r="B20" s="120" t="str">
        <f>IF(CONTROLS!B14=TRUE,"P","")</f>
        <v/>
      </c>
      <c r="C20" s="157" t="s">
        <v>27</v>
      </c>
      <c r="D20" s="157"/>
      <c r="E20" s="157"/>
      <c r="F20" s="157"/>
      <c r="G20" s="162"/>
      <c r="H20" s="162"/>
      <c r="I20" s="162"/>
      <c r="J20" s="162"/>
      <c r="K20" s="162"/>
      <c r="L20" s="162"/>
      <c r="M20" s="120" t="str">
        <f>IF(CONTROLS!B18=TRUE,"P","")</f>
        <v/>
      </c>
      <c r="N20" s="11" t="s">
        <v>28</v>
      </c>
      <c r="O20" s="11"/>
      <c r="P20" s="11"/>
      <c r="Q20" s="11"/>
      <c r="R20" s="162"/>
      <c r="S20" s="162"/>
      <c r="T20" s="162"/>
      <c r="U20" s="162"/>
      <c r="V20" s="162"/>
      <c r="W20" s="162"/>
      <c r="X20" s="162"/>
    </row>
    <row r="21" spans="1:24" s="6" customFormat="1" ht="20.45" customHeight="1" x14ac:dyDescent="0.25">
      <c r="B21" s="120" t="str">
        <f>IF(CONTROLS!B15=TRUE,"P","")</f>
        <v/>
      </c>
      <c r="C21" s="157" t="s">
        <v>29</v>
      </c>
      <c r="D21" s="157"/>
      <c r="E21" s="157"/>
      <c r="F21" s="157"/>
      <c r="G21" s="157"/>
      <c r="H21" s="162"/>
      <c r="I21" s="162"/>
      <c r="J21" s="162"/>
      <c r="K21" s="162"/>
      <c r="L21" s="162"/>
      <c r="M21" s="120" t="str">
        <f>IF(CONTROLS!B19=TRUE,"P","")</f>
        <v/>
      </c>
      <c r="N21" s="11" t="s">
        <v>30</v>
      </c>
      <c r="O21" s="11"/>
      <c r="P21" s="11"/>
      <c r="Q21" s="11"/>
      <c r="R21" s="162"/>
      <c r="S21" s="162"/>
      <c r="T21" s="162"/>
      <c r="U21" s="162"/>
      <c r="V21" s="162"/>
      <c r="W21" s="162"/>
      <c r="X21" s="162"/>
    </row>
    <row r="22" spans="1:24" s="6" customFormat="1" ht="20.45" customHeight="1" x14ac:dyDescent="0.25">
      <c r="B22" s="120" t="str">
        <f>IF(CONTROLS!B16=TRUE,"P","")</f>
        <v/>
      </c>
      <c r="C22" s="157" t="s">
        <v>31</v>
      </c>
      <c r="D22" s="157"/>
      <c r="E22" s="157"/>
      <c r="F22" s="157"/>
      <c r="G22" s="157"/>
      <c r="H22" s="162"/>
      <c r="I22" s="162"/>
      <c r="J22" s="162"/>
      <c r="K22" s="162"/>
      <c r="L22" s="162"/>
      <c r="M22" s="120" t="str">
        <f>IF(CONTROLS!B20=TRUE,"P","")</f>
        <v/>
      </c>
      <c r="N22" s="11" t="s">
        <v>32</v>
      </c>
      <c r="O22" s="11"/>
      <c r="P22" s="11"/>
      <c r="Q22" s="11"/>
      <c r="R22" s="7"/>
      <c r="S22" s="7"/>
      <c r="T22" s="7"/>
      <c r="V22" s="162"/>
      <c r="W22" s="162"/>
      <c r="X22" s="162"/>
    </row>
    <row r="23" spans="1:24" s="6" customFormat="1" ht="20.45" customHeight="1" x14ac:dyDescent="0.25">
      <c r="B23" s="120" t="str">
        <f>IF(CONTROLS!B17=TRUE,"P","")</f>
        <v/>
      </c>
      <c r="C23" s="157" t="s">
        <v>33</v>
      </c>
      <c r="D23" s="157"/>
      <c r="E23" s="157"/>
      <c r="F23" s="157"/>
      <c r="G23" s="162"/>
      <c r="H23" s="162"/>
      <c r="I23" s="162"/>
      <c r="J23" s="162"/>
      <c r="K23" s="162"/>
      <c r="L23" s="162"/>
      <c r="M23" s="120" t="str">
        <f>IF(CONTROLS!B21=TRUE,"P","")</f>
        <v>P</v>
      </c>
      <c r="N23" s="11" t="s">
        <v>34</v>
      </c>
      <c r="O23" s="11"/>
      <c r="P23" s="11"/>
      <c r="Q23" s="162" t="s">
        <v>429</v>
      </c>
      <c r="R23" s="162"/>
      <c r="S23" s="162"/>
      <c r="T23" s="162"/>
      <c r="U23" s="162"/>
      <c r="V23" s="162"/>
      <c r="W23" s="162"/>
      <c r="X23" s="162"/>
    </row>
    <row r="24" spans="1:24" ht="3.6" customHeight="1" x14ac:dyDescent="0.25"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</row>
    <row r="25" spans="1:24" ht="30" x14ac:dyDescent="0.2">
      <c r="A25" s="4" t="s">
        <v>35</v>
      </c>
    </row>
    <row r="26" spans="1:24" ht="25.35" customHeight="1" x14ac:dyDescent="0.2">
      <c r="A26" s="3" t="s">
        <v>36</v>
      </c>
      <c r="B26" s="17"/>
    </row>
    <row r="27" spans="1:24" s="5" customFormat="1" ht="19.350000000000001" customHeight="1" x14ac:dyDescent="0.25">
      <c r="A27" s="105">
        <f>IF(COUNTIF(B27:X28,"P")=0,"",COUNTIF(B27:X28,"P"))</f>
        <v>2</v>
      </c>
      <c r="B27" s="120" t="str">
        <f>IF(CONTROLS!B22=TRUE,"P","")</f>
        <v/>
      </c>
      <c r="C27" s="12" t="s">
        <v>37</v>
      </c>
      <c r="D27" s="12"/>
      <c r="E27" s="12"/>
      <c r="F27" s="120" t="str">
        <f>IF(CONTROLS!B23=TRUE,"P","")</f>
        <v/>
      </c>
      <c r="G27" s="12" t="s">
        <v>38</v>
      </c>
      <c r="H27" s="12"/>
      <c r="I27" s="120" t="str">
        <f>IF(CONTROLS!B24=TRUE,"P","")</f>
        <v/>
      </c>
      <c r="J27" s="11" t="s">
        <v>39</v>
      </c>
      <c r="L27" s="12"/>
      <c r="M27" s="12"/>
      <c r="O27" s="120" t="str">
        <f>IF(CONTROLS!B25=TRUE,"P","")</f>
        <v>P</v>
      </c>
      <c r="P27" s="12" t="s">
        <v>40</v>
      </c>
      <c r="R27" s="12"/>
      <c r="S27" s="12"/>
      <c r="T27" s="120" t="str">
        <f>IF(CONTROLS!B26=TRUE,"P","")</f>
        <v>P</v>
      </c>
      <c r="U27" s="12" t="s">
        <v>41</v>
      </c>
    </row>
    <row r="28" spans="1:24" s="5" customFormat="1" ht="19.350000000000001" customHeight="1" x14ac:dyDescent="0.25">
      <c r="A28" s="114">
        <f>IF(AND(IF(B28="P",1,"")=1,E28=""),"",1)</f>
        <v>1</v>
      </c>
      <c r="B28" s="120" t="str">
        <f>IF(CONTROLS!B27=TRUE,"P","")</f>
        <v/>
      </c>
      <c r="C28" s="157" t="s">
        <v>42</v>
      </c>
      <c r="D28" s="157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</row>
    <row r="29" spans="1:24" ht="15.75" x14ac:dyDescent="0.25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24" ht="19.5" x14ac:dyDescent="0.3">
      <c r="B30" s="10" t="s">
        <v>43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24" ht="16.350000000000001" customHeight="1" x14ac:dyDescent="0.2">
      <c r="B31" s="163" t="s">
        <v>439</v>
      </c>
      <c r="C31" s="164"/>
      <c r="D31" s="164"/>
      <c r="E31" s="164"/>
      <c r="F31" s="164"/>
      <c r="G31" s="164"/>
      <c r="H31" s="164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4"/>
      <c r="V31" s="164"/>
      <c r="W31" s="164"/>
      <c r="X31" s="165"/>
    </row>
    <row r="32" spans="1:24" ht="16.350000000000001" customHeight="1" x14ac:dyDescent="0.2">
      <c r="B32" s="166"/>
      <c r="C32" s="167"/>
      <c r="D32" s="167"/>
      <c r="E32" s="167"/>
      <c r="F32" s="167"/>
      <c r="G32" s="167"/>
      <c r="H32" s="167"/>
      <c r="I32" s="167"/>
      <c r="J32" s="167"/>
      <c r="K32" s="167"/>
      <c r="L32" s="167"/>
      <c r="M32" s="167"/>
      <c r="N32" s="167"/>
      <c r="O32" s="167"/>
      <c r="P32" s="167"/>
      <c r="Q32" s="167"/>
      <c r="R32" s="167"/>
      <c r="S32" s="167"/>
      <c r="T32" s="167"/>
      <c r="U32" s="167"/>
      <c r="V32" s="167"/>
      <c r="W32" s="167"/>
      <c r="X32" s="168"/>
    </row>
    <row r="33" spans="1:35" ht="12" customHeight="1" x14ac:dyDescent="0.2">
      <c r="B33" s="166"/>
      <c r="C33" s="167"/>
      <c r="D33" s="167"/>
      <c r="E33" s="167"/>
      <c r="F33" s="167"/>
      <c r="G33" s="167"/>
      <c r="H33" s="167"/>
      <c r="I33" s="167"/>
      <c r="J33" s="167"/>
      <c r="K33" s="167"/>
      <c r="L33" s="167"/>
      <c r="M33" s="167"/>
      <c r="N33" s="167"/>
      <c r="O33" s="167"/>
      <c r="P33" s="167"/>
      <c r="Q33" s="167"/>
      <c r="R33" s="167"/>
      <c r="S33" s="167"/>
      <c r="T33" s="167"/>
      <c r="U33" s="167"/>
      <c r="V33" s="167"/>
      <c r="W33" s="167"/>
      <c r="X33" s="168"/>
    </row>
    <row r="34" spans="1:35" ht="16.350000000000001" customHeight="1" x14ac:dyDescent="0.2">
      <c r="B34" s="166"/>
      <c r="C34" s="167"/>
      <c r="D34" s="167"/>
      <c r="E34" s="167"/>
      <c r="F34" s="167"/>
      <c r="G34" s="167"/>
      <c r="H34" s="167"/>
      <c r="I34" s="167"/>
      <c r="J34" s="167"/>
      <c r="K34" s="167"/>
      <c r="L34" s="167"/>
      <c r="M34" s="167"/>
      <c r="N34" s="167"/>
      <c r="O34" s="167"/>
      <c r="P34" s="167"/>
      <c r="Q34" s="167"/>
      <c r="R34" s="167"/>
      <c r="S34" s="167"/>
      <c r="T34" s="167"/>
      <c r="U34" s="167"/>
      <c r="V34" s="167"/>
      <c r="W34" s="167"/>
      <c r="X34" s="168"/>
    </row>
    <row r="35" spans="1:35" ht="16.350000000000001" customHeight="1" x14ac:dyDescent="0.2">
      <c r="B35" s="169"/>
      <c r="C35" s="170"/>
      <c r="D35" s="170"/>
      <c r="E35" s="170"/>
      <c r="F35" s="170"/>
      <c r="G35" s="170"/>
      <c r="H35" s="170"/>
      <c r="I35" s="170"/>
      <c r="J35" s="170"/>
      <c r="K35" s="170"/>
      <c r="L35" s="170"/>
      <c r="M35" s="170"/>
      <c r="N35" s="170"/>
      <c r="O35" s="170"/>
      <c r="P35" s="170"/>
      <c r="Q35" s="170"/>
      <c r="R35" s="170"/>
      <c r="S35" s="170"/>
      <c r="T35" s="170"/>
      <c r="U35" s="170"/>
      <c r="V35" s="170"/>
      <c r="W35" s="170"/>
      <c r="X35" s="171"/>
    </row>
    <row r="36" spans="1:35" ht="22.5" x14ac:dyDescent="0.2">
      <c r="A36" s="3" t="s">
        <v>44</v>
      </c>
    </row>
    <row r="37" spans="1:35" ht="16.350000000000001" customHeight="1" x14ac:dyDescent="0.2">
      <c r="B37" s="172" t="s">
        <v>430</v>
      </c>
      <c r="C37" s="164"/>
      <c r="D37" s="164"/>
      <c r="E37" s="164"/>
      <c r="F37" s="164"/>
      <c r="G37" s="164"/>
      <c r="H37" s="164"/>
      <c r="I37" s="164"/>
      <c r="J37" s="164"/>
      <c r="K37" s="164"/>
      <c r="L37" s="164"/>
      <c r="M37" s="164"/>
      <c r="N37" s="164"/>
      <c r="O37" s="164"/>
      <c r="P37" s="164"/>
      <c r="Q37" s="164"/>
      <c r="R37" s="164"/>
      <c r="S37" s="164"/>
      <c r="T37" s="164"/>
      <c r="U37" s="164"/>
      <c r="V37" s="164"/>
      <c r="W37" s="164"/>
      <c r="X37" s="165"/>
    </row>
    <row r="38" spans="1:35" ht="12" customHeight="1" x14ac:dyDescent="0.2">
      <c r="B38" s="166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8"/>
    </row>
    <row r="39" spans="1:35" ht="16.350000000000001" customHeight="1" x14ac:dyDescent="0.2">
      <c r="B39" s="166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8"/>
    </row>
    <row r="40" spans="1:35" ht="16.350000000000001" customHeight="1" x14ac:dyDescent="0.2">
      <c r="B40" s="166"/>
      <c r="C40" s="167"/>
      <c r="D40" s="167"/>
      <c r="E40" s="167"/>
      <c r="F40" s="167"/>
      <c r="G40" s="167"/>
      <c r="H40" s="167"/>
      <c r="I40" s="167"/>
      <c r="J40" s="167"/>
      <c r="K40" s="167"/>
      <c r="L40" s="167"/>
      <c r="M40" s="167"/>
      <c r="N40" s="167"/>
      <c r="O40" s="167"/>
      <c r="P40" s="167"/>
      <c r="Q40" s="167"/>
      <c r="R40" s="167"/>
      <c r="S40" s="167"/>
      <c r="T40" s="167"/>
      <c r="U40" s="167"/>
      <c r="V40" s="167"/>
      <c r="W40" s="167"/>
      <c r="X40" s="168"/>
    </row>
    <row r="41" spans="1:35" ht="16.350000000000001" customHeight="1" x14ac:dyDescent="0.2">
      <c r="B41" s="169"/>
      <c r="C41" s="170"/>
      <c r="D41" s="170"/>
      <c r="E41" s="170"/>
      <c r="F41" s="170"/>
      <c r="G41" s="170"/>
      <c r="H41" s="170"/>
      <c r="I41" s="170"/>
      <c r="J41" s="170"/>
      <c r="K41" s="170"/>
      <c r="L41" s="170"/>
      <c r="M41" s="170"/>
      <c r="N41" s="170"/>
      <c r="O41" s="170"/>
      <c r="P41" s="170"/>
      <c r="Q41" s="170"/>
      <c r="R41" s="170"/>
      <c r="S41" s="170"/>
      <c r="T41" s="170"/>
      <c r="U41" s="170"/>
      <c r="V41" s="170"/>
      <c r="W41" s="170"/>
      <c r="X41" s="171"/>
    </row>
    <row r="42" spans="1:35" ht="22.5" x14ac:dyDescent="0.2">
      <c r="A42" s="3" t="s">
        <v>45</v>
      </c>
    </row>
    <row r="43" spans="1:35" s="6" customFormat="1" ht="19.7" customHeight="1" x14ac:dyDescent="0.25">
      <c r="B43" s="120" t="str">
        <f>IF(CONTROLS!B28=TRUE,"P","")</f>
        <v>P</v>
      </c>
      <c r="C43" s="11" t="s">
        <v>46</v>
      </c>
      <c r="D43" s="7"/>
      <c r="E43" s="7"/>
      <c r="F43" s="120" t="str">
        <f>IF(CONTROLS!B29=TRUE,"P","")</f>
        <v/>
      </c>
      <c r="G43" s="11" t="s">
        <v>47</v>
      </c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</row>
    <row r="44" spans="1:35" ht="16.350000000000001" customHeight="1" x14ac:dyDescent="0.25">
      <c r="B44" s="163"/>
      <c r="C44" s="164"/>
      <c r="D44" s="164"/>
      <c r="E44" s="164"/>
      <c r="F44" s="164"/>
      <c r="G44" s="164"/>
      <c r="H44" s="164"/>
      <c r="I44" s="164"/>
      <c r="J44" s="164"/>
      <c r="K44" s="164"/>
      <c r="L44" s="164"/>
      <c r="M44" s="164"/>
      <c r="N44" s="164"/>
      <c r="O44" s="164"/>
      <c r="P44" s="164"/>
      <c r="Q44" s="164"/>
      <c r="R44" s="164"/>
      <c r="S44" s="164"/>
      <c r="T44" s="164"/>
      <c r="U44" s="164"/>
      <c r="V44" s="164"/>
      <c r="W44" s="164"/>
      <c r="X44" s="165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</row>
    <row r="45" spans="1:35" ht="13.35" customHeight="1" x14ac:dyDescent="0.25">
      <c r="B45" s="166"/>
      <c r="C45" s="167"/>
      <c r="D45" s="167"/>
      <c r="E45" s="167"/>
      <c r="F45" s="167"/>
      <c r="G45" s="167"/>
      <c r="H45" s="167"/>
      <c r="I45" s="167"/>
      <c r="J45" s="167"/>
      <c r="K45" s="167"/>
      <c r="L45" s="167"/>
      <c r="M45" s="167"/>
      <c r="N45" s="167"/>
      <c r="O45" s="167"/>
      <c r="P45" s="167"/>
      <c r="Q45" s="167"/>
      <c r="R45" s="167"/>
      <c r="S45" s="167"/>
      <c r="T45" s="167"/>
      <c r="U45" s="167"/>
      <c r="V45" s="167"/>
      <c r="W45" s="167"/>
      <c r="X45" s="168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</row>
    <row r="46" spans="1:35" ht="16.350000000000001" customHeight="1" x14ac:dyDescent="0.25">
      <c r="B46" s="166"/>
      <c r="C46" s="167"/>
      <c r="D46" s="167"/>
      <c r="E46" s="167"/>
      <c r="F46" s="167"/>
      <c r="G46" s="167"/>
      <c r="H46" s="167"/>
      <c r="I46" s="167"/>
      <c r="J46" s="167"/>
      <c r="K46" s="167"/>
      <c r="L46" s="167"/>
      <c r="M46" s="167"/>
      <c r="N46" s="167"/>
      <c r="O46" s="167"/>
      <c r="P46" s="167"/>
      <c r="Q46" s="167"/>
      <c r="R46" s="167"/>
      <c r="S46" s="167"/>
      <c r="T46" s="167"/>
      <c r="U46" s="167"/>
      <c r="V46" s="167"/>
      <c r="W46" s="167"/>
      <c r="X46" s="168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</row>
    <row r="47" spans="1:35" ht="16.350000000000001" customHeight="1" x14ac:dyDescent="0.25">
      <c r="B47" s="166"/>
      <c r="C47" s="167"/>
      <c r="D47" s="167"/>
      <c r="E47" s="167"/>
      <c r="F47" s="167"/>
      <c r="G47" s="167"/>
      <c r="H47" s="167"/>
      <c r="I47" s="167"/>
      <c r="J47" s="167"/>
      <c r="K47" s="167"/>
      <c r="L47" s="167"/>
      <c r="M47" s="167"/>
      <c r="N47" s="167"/>
      <c r="O47" s="167"/>
      <c r="P47" s="167"/>
      <c r="Q47" s="167"/>
      <c r="R47" s="167"/>
      <c r="S47" s="167"/>
      <c r="T47" s="167"/>
      <c r="U47" s="167"/>
      <c r="V47" s="167"/>
      <c r="W47" s="167"/>
      <c r="X47" s="168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</row>
    <row r="48" spans="1:35" ht="16.350000000000001" customHeight="1" x14ac:dyDescent="0.25">
      <c r="B48" s="169"/>
      <c r="C48" s="170"/>
      <c r="D48" s="170"/>
      <c r="E48" s="170"/>
      <c r="F48" s="170"/>
      <c r="G48" s="170"/>
      <c r="H48" s="170"/>
      <c r="I48" s="170"/>
      <c r="J48" s="170"/>
      <c r="K48" s="170"/>
      <c r="L48" s="170"/>
      <c r="M48" s="170"/>
      <c r="N48" s="170"/>
      <c r="O48" s="170"/>
      <c r="P48" s="170"/>
      <c r="Q48" s="170"/>
      <c r="R48" s="170"/>
      <c r="S48" s="170"/>
      <c r="T48" s="170"/>
      <c r="U48" s="170"/>
      <c r="V48" s="170"/>
      <c r="W48" s="170"/>
      <c r="X48" s="17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</row>
    <row r="49" spans="1:35" ht="22.5" x14ac:dyDescent="0.25">
      <c r="A49" s="3" t="s">
        <v>48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</row>
    <row r="50" spans="1:35" s="6" customFormat="1" ht="20.45" customHeight="1" x14ac:dyDescent="0.25">
      <c r="A50" s="105">
        <f>IF(COUNTIF(B50:X50,"P")=0,"",COUNTIF(B50:X50,"P"))</f>
        <v>1</v>
      </c>
      <c r="B50" s="120" t="str">
        <f>IF(CONTROLS!B30=TRUE,"P","")</f>
        <v/>
      </c>
      <c r="C50" s="11" t="s">
        <v>49</v>
      </c>
      <c r="D50" s="11"/>
      <c r="E50" s="120" t="str">
        <f>IF(CONTROLS!B31=TRUE,"P","")</f>
        <v>P</v>
      </c>
      <c r="F50" s="11" t="s">
        <v>50</v>
      </c>
      <c r="G50" s="120" t="str">
        <f>IF(CONTROLS!B32=TRUE,"P","")</f>
        <v/>
      </c>
      <c r="H50" s="11" t="s">
        <v>51</v>
      </c>
      <c r="I50" s="11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</row>
    <row r="51" spans="1:35" s="6" customFormat="1" ht="4.7" customHeight="1" x14ac:dyDescent="0.25">
      <c r="A51" s="105"/>
      <c r="B51" s="120"/>
      <c r="C51" s="11"/>
      <c r="D51" s="11"/>
      <c r="E51" s="120"/>
      <c r="F51" s="11"/>
      <c r="G51" s="120"/>
      <c r="H51" s="11"/>
      <c r="I51" s="11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</row>
    <row r="52" spans="1:35" s="6" customFormat="1" ht="20.45" customHeight="1" x14ac:dyDescent="0.2">
      <c r="A52" s="27" t="s">
        <v>52</v>
      </c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</row>
    <row r="53" spans="1:35" s="6" customFormat="1" ht="20.45" customHeight="1" x14ac:dyDescent="0.2">
      <c r="A53" s="27" t="s">
        <v>53</v>
      </c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</row>
    <row r="54" spans="1:35" s="142" customFormat="1" ht="20.45" customHeight="1" x14ac:dyDescent="0.3">
      <c r="A54" s="24"/>
      <c r="B54" s="121" t="str">
        <f>IF(CONTROLS!C2=TRUE,"P","")</f>
        <v>P</v>
      </c>
      <c r="C54" s="29" t="s">
        <v>54</v>
      </c>
      <c r="D54" s="121" t="str">
        <f>IF(CONTROLS!C3=TRUE,"P","")</f>
        <v/>
      </c>
      <c r="E54" s="29" t="s">
        <v>55</v>
      </c>
      <c r="F54" s="24"/>
      <c r="G54" s="24"/>
      <c r="H54" s="24"/>
      <c r="I54" s="24"/>
      <c r="J54" s="24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W54" s="162"/>
      <c r="X54" s="162"/>
      <c r="Y54" s="141"/>
      <c r="Z54" s="141"/>
      <c r="AA54" s="141"/>
      <c r="AB54" s="141"/>
      <c r="AC54" s="141"/>
      <c r="AD54" s="141"/>
      <c r="AE54" s="141"/>
      <c r="AF54" s="141"/>
      <c r="AG54" s="141"/>
      <c r="AH54" s="141"/>
      <c r="AI54" s="141"/>
    </row>
    <row r="55" spans="1:35" ht="18.75" x14ac:dyDescent="0.3">
      <c r="A55" s="1" t="s">
        <v>56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O55" s="8"/>
      <c r="P55" s="8"/>
      <c r="Q55" s="8"/>
      <c r="R55" s="8"/>
      <c r="S55" s="8"/>
      <c r="T55" s="1"/>
      <c r="U55" s="1"/>
      <c r="V55" s="1"/>
      <c r="W55" s="14" t="s">
        <v>57</v>
      </c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</row>
    <row r="56" spans="1:35" ht="18.75" x14ac:dyDescent="0.3"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8"/>
      <c r="O56" s="8"/>
      <c r="P56" s="8"/>
      <c r="Q56" s="8"/>
      <c r="R56" s="8"/>
      <c r="T56" s="1"/>
      <c r="U56" s="1"/>
      <c r="V56" s="1"/>
      <c r="W56" s="15" t="s">
        <v>58</v>
      </c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</row>
    <row r="57" spans="1:35" ht="15.75" x14ac:dyDescent="0.25"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</row>
    <row r="58" spans="1:35" ht="15.75" x14ac:dyDescent="0.25"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</row>
    <row r="59" spans="1:35" ht="15.75" x14ac:dyDescent="0.25"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</row>
  </sheetData>
  <sheetProtection algorithmName="SHA-512" hashValue="lUusGwAp56fJaopq+9XOF0cjy+4/AYx9dkNpLnKAoiFpCUfG4lyrFHH7AL3Te3CGiiJWKFDyH5UyOeKqPC98ew==" saltValue="iQLjXJLPoBSPLLhI+NZRvg==" spinCount="100000" sheet="1" objects="1" scenarios="1"/>
  <mergeCells count="60">
    <mergeCell ref="A9:X9"/>
    <mergeCell ref="A10:B10"/>
    <mergeCell ref="C10:X10"/>
    <mergeCell ref="K54:X54"/>
    <mergeCell ref="A4:E4"/>
    <mergeCell ref="F4:R4"/>
    <mergeCell ref="S4:T4"/>
    <mergeCell ref="U4:X4"/>
    <mergeCell ref="A5:B5"/>
    <mergeCell ref="S5:T5"/>
    <mergeCell ref="U5:X5"/>
    <mergeCell ref="S6:T6"/>
    <mergeCell ref="U6:X6"/>
    <mergeCell ref="S7:T7"/>
    <mergeCell ref="U7:X7"/>
    <mergeCell ref="A7:B7"/>
    <mergeCell ref="C6:K6"/>
    <mergeCell ref="A6:B6"/>
    <mergeCell ref="S8:T8"/>
    <mergeCell ref="U8:X8"/>
    <mergeCell ref="N5:R5"/>
    <mergeCell ref="N6:R6"/>
    <mergeCell ref="N7:R7"/>
    <mergeCell ref="C5:K5"/>
    <mergeCell ref="C7:K7"/>
    <mergeCell ref="L5:M5"/>
    <mergeCell ref="L6:M6"/>
    <mergeCell ref="L7:M7"/>
    <mergeCell ref="A8:J8"/>
    <mergeCell ref="K8:R8"/>
    <mergeCell ref="B31:X35"/>
    <mergeCell ref="B37:X41"/>
    <mergeCell ref="B44:X48"/>
    <mergeCell ref="C13:H13"/>
    <mergeCell ref="C14:H14"/>
    <mergeCell ref="C15:H15"/>
    <mergeCell ref="J13:M13"/>
    <mergeCell ref="J14:M14"/>
    <mergeCell ref="J15:M15"/>
    <mergeCell ref="B16:X17"/>
    <mergeCell ref="O15:R15"/>
    <mergeCell ref="T13:X13"/>
    <mergeCell ref="G20:L20"/>
    <mergeCell ref="H21:L21"/>
    <mergeCell ref="V15:X15"/>
    <mergeCell ref="C20:F20"/>
    <mergeCell ref="C28:D28"/>
    <mergeCell ref="O13:R13"/>
    <mergeCell ref="V14:X14"/>
    <mergeCell ref="O14:R14"/>
    <mergeCell ref="E28:X28"/>
    <mergeCell ref="H22:L22"/>
    <mergeCell ref="G23:L23"/>
    <mergeCell ref="R20:X20"/>
    <mergeCell ref="R21:X21"/>
    <mergeCell ref="V22:X22"/>
    <mergeCell ref="Q23:X23"/>
    <mergeCell ref="C21:G21"/>
    <mergeCell ref="C22:G22"/>
    <mergeCell ref="C23:F23"/>
  </mergeCells>
  <conditionalFormatting sqref="E28:X28">
    <cfRule type="notContainsBlanks" dxfId="155" priority="21">
      <formula>LEN(TRIM(E28))&gt;0</formula>
    </cfRule>
    <cfRule type="expression" dxfId="154" priority="22">
      <formula>$B$28="P"</formula>
    </cfRule>
  </conditionalFormatting>
  <conditionalFormatting sqref="G20:L20">
    <cfRule type="notContainsBlanks" dxfId="153" priority="12">
      <formula>LEN(TRIM(G20))&gt;0</formula>
    </cfRule>
    <cfRule type="expression" dxfId="152" priority="20">
      <formula>$B$20="P"</formula>
    </cfRule>
  </conditionalFormatting>
  <conditionalFormatting sqref="H21:L21">
    <cfRule type="notContainsBlanks" dxfId="151" priority="11">
      <formula>LEN(TRIM(H21))&gt;0</formula>
    </cfRule>
    <cfRule type="expression" dxfId="150" priority="19">
      <formula>$B$21="P"</formula>
    </cfRule>
  </conditionalFormatting>
  <conditionalFormatting sqref="H22:L22">
    <cfRule type="notContainsBlanks" dxfId="149" priority="10">
      <formula>LEN(TRIM(H22))&gt;0</formula>
    </cfRule>
    <cfRule type="expression" dxfId="148" priority="18">
      <formula>$B$22="P"</formula>
    </cfRule>
  </conditionalFormatting>
  <conditionalFormatting sqref="G23:L23">
    <cfRule type="notContainsBlanks" dxfId="147" priority="9">
      <formula>LEN(TRIM(G23))&gt;0</formula>
    </cfRule>
    <cfRule type="expression" dxfId="146" priority="17">
      <formula>$B$23="P"</formula>
    </cfRule>
  </conditionalFormatting>
  <conditionalFormatting sqref="R20:X20">
    <cfRule type="notContainsBlanks" dxfId="145" priority="8">
      <formula>LEN(TRIM(R20))&gt;0</formula>
    </cfRule>
    <cfRule type="expression" dxfId="144" priority="16">
      <formula>$M$20="P"</formula>
    </cfRule>
  </conditionalFormatting>
  <conditionalFormatting sqref="R21:X21">
    <cfRule type="notContainsBlanks" dxfId="143" priority="7">
      <formula>LEN(TRIM(R21))&gt;0</formula>
    </cfRule>
    <cfRule type="expression" dxfId="142" priority="15">
      <formula>$M$21="P"</formula>
    </cfRule>
  </conditionalFormatting>
  <conditionalFormatting sqref="V22:X22">
    <cfRule type="notContainsBlanks" dxfId="141" priority="6">
      <formula>LEN(TRIM(V22))&gt;0</formula>
    </cfRule>
    <cfRule type="expression" dxfId="140" priority="14">
      <formula>$M$22="P"</formula>
    </cfRule>
  </conditionalFormatting>
  <conditionalFormatting sqref="Q23:X23">
    <cfRule type="notContainsBlanks" dxfId="139" priority="5">
      <formula>LEN(TRIM(Q23))&gt;0</formula>
    </cfRule>
    <cfRule type="expression" dxfId="138" priority="13">
      <formula>$M$23="P"</formula>
    </cfRule>
  </conditionalFormatting>
  <conditionalFormatting sqref="K54:X54">
    <cfRule type="notContainsBlanks" dxfId="137" priority="1">
      <formula>LEN(TRIM(K54))&gt;0</formula>
    </cfRule>
    <cfRule type="expression" dxfId="136" priority="2">
      <formula>$D$54="P"</formula>
    </cfRule>
  </conditionalFormatting>
  <pageMargins left="0.7" right="0.7" top="0.25" bottom="0.25" header="0.3" footer="0.3"/>
  <pageSetup scale="6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Check Box 14">
              <controlPr defaultSize="0" print="0" autoFill="0" autoLine="0" autoPict="0">
                <anchor moveWithCells="1">
                  <from>
                    <xdr:col>1</xdr:col>
                    <xdr:colOff>123825</xdr:colOff>
                    <xdr:row>19</xdr:row>
                    <xdr:rowOff>9525</xdr:rowOff>
                  </from>
                  <to>
                    <xdr:col>1</xdr:col>
                    <xdr:colOff>428625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" name="Check Box 15">
              <controlPr defaultSize="0" print="0" autoFill="0" autoLine="0" autoPict="0">
                <anchor moveWithCells="1">
                  <from>
                    <xdr:col>1</xdr:col>
                    <xdr:colOff>123825</xdr:colOff>
                    <xdr:row>19</xdr:row>
                    <xdr:rowOff>228600</xdr:rowOff>
                  </from>
                  <to>
                    <xdr:col>1</xdr:col>
                    <xdr:colOff>428625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Check Box 16">
              <controlPr defaultSize="0" print="0" autoFill="0" autoLine="0" autoPict="0">
                <anchor moveWithCells="1">
                  <from>
                    <xdr:col>1</xdr:col>
                    <xdr:colOff>123825</xdr:colOff>
                    <xdr:row>20</xdr:row>
                    <xdr:rowOff>238125</xdr:rowOff>
                  </from>
                  <to>
                    <xdr:col>1</xdr:col>
                    <xdr:colOff>428625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Check Box 17">
              <controlPr defaultSize="0" print="0" autoFill="0" autoLine="0" autoPict="0">
                <anchor moveWithCells="1">
                  <from>
                    <xdr:col>1</xdr:col>
                    <xdr:colOff>123825</xdr:colOff>
                    <xdr:row>21</xdr:row>
                    <xdr:rowOff>238125</xdr:rowOff>
                  </from>
                  <to>
                    <xdr:col>1</xdr:col>
                    <xdr:colOff>428625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8" name="Check Box 18">
              <controlPr defaultSize="0" print="0" autoFill="0" autoLine="0" autoPict="0">
                <anchor moveWithCells="1">
                  <from>
                    <xdr:col>12</xdr:col>
                    <xdr:colOff>76200</xdr:colOff>
                    <xdr:row>18</xdr:row>
                    <xdr:rowOff>266700</xdr:rowOff>
                  </from>
                  <to>
                    <xdr:col>13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9" name="Check Box 19">
              <controlPr defaultSize="0" print="0" autoFill="0" autoLine="0" autoPict="0">
                <anchor moveWithCells="1">
                  <from>
                    <xdr:col>12</xdr:col>
                    <xdr:colOff>76200</xdr:colOff>
                    <xdr:row>19</xdr:row>
                    <xdr:rowOff>238125</xdr:rowOff>
                  </from>
                  <to>
                    <xdr:col>13</xdr:col>
                    <xdr:colOff>0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0" name="Check Box 20">
              <controlPr defaultSize="0" print="0" autoFill="0" autoLine="0" autoPict="0">
                <anchor moveWithCells="1">
                  <from>
                    <xdr:col>12</xdr:col>
                    <xdr:colOff>76200</xdr:colOff>
                    <xdr:row>20</xdr:row>
                    <xdr:rowOff>238125</xdr:rowOff>
                  </from>
                  <to>
                    <xdr:col>13</xdr:col>
                    <xdr:colOff>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1" name="Check Box 21">
              <controlPr defaultSize="0" print="0" autoFill="0" autoLine="0" autoPict="0">
                <anchor moveWithCells="1">
                  <from>
                    <xdr:col>12</xdr:col>
                    <xdr:colOff>76200</xdr:colOff>
                    <xdr:row>21</xdr:row>
                    <xdr:rowOff>238125</xdr:rowOff>
                  </from>
                  <to>
                    <xdr:col>13</xdr:col>
                    <xdr:colOff>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2" name="Check Box 22">
              <controlPr defaultSize="0" print="0" autoFill="0" autoLine="0" autoPict="0">
                <anchor moveWithCells="1">
                  <from>
                    <xdr:col>1</xdr:col>
                    <xdr:colOff>114300</xdr:colOff>
                    <xdr:row>25</xdr:row>
                    <xdr:rowOff>295275</xdr:rowOff>
                  </from>
                  <to>
                    <xdr:col>1</xdr:col>
                    <xdr:colOff>419100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3" name="Check Box 23">
              <controlPr defaultSize="0" print="0" autoFill="0" autoLine="0" autoPict="0">
                <anchor moveWithCells="1">
                  <from>
                    <xdr:col>5</xdr:col>
                    <xdr:colOff>66675</xdr:colOff>
                    <xdr:row>26</xdr:row>
                    <xdr:rowOff>9525</xdr:rowOff>
                  </from>
                  <to>
                    <xdr:col>5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4" name="Check Box 24">
              <controlPr defaultSize="0" print="0" autoFill="0" autoLine="0" autoPict="0">
                <anchor moveWithCells="1">
                  <from>
                    <xdr:col>8</xdr:col>
                    <xdr:colOff>76200</xdr:colOff>
                    <xdr:row>25</xdr:row>
                    <xdr:rowOff>295275</xdr:rowOff>
                  </from>
                  <to>
                    <xdr:col>9</xdr:col>
                    <xdr:colOff>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5" name="Check Box 25">
              <controlPr defaultSize="0" print="0" autoFill="0" autoLine="0" autoPict="0">
                <anchor moveWithCells="1">
                  <from>
                    <xdr:col>14</xdr:col>
                    <xdr:colOff>76200</xdr:colOff>
                    <xdr:row>25</xdr:row>
                    <xdr:rowOff>295275</xdr:rowOff>
                  </from>
                  <to>
                    <xdr:col>15</xdr:col>
                    <xdr:colOff>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6" name="Check Box 26">
              <controlPr defaultSize="0" print="0" autoFill="0" autoLine="0" autoPict="0">
                <anchor moveWithCells="1">
                  <from>
                    <xdr:col>19</xdr:col>
                    <xdr:colOff>76200</xdr:colOff>
                    <xdr:row>25</xdr:row>
                    <xdr:rowOff>295275</xdr:rowOff>
                  </from>
                  <to>
                    <xdr:col>19</xdr:col>
                    <xdr:colOff>304800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7" name="Check Box 27">
              <controlPr defaultSize="0" print="0" autoFill="0" autoLine="0" autoPict="0">
                <anchor moveWithCells="1">
                  <from>
                    <xdr:col>1</xdr:col>
                    <xdr:colOff>123825</xdr:colOff>
                    <xdr:row>26</xdr:row>
                    <xdr:rowOff>200025</xdr:rowOff>
                  </from>
                  <to>
                    <xdr:col>1</xdr:col>
                    <xdr:colOff>428625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8" name="Check Box 28">
              <controlPr defaultSize="0" print="0" autoFill="0" autoLine="0" autoPict="0">
                <anchor moveWithCells="1">
                  <from>
                    <xdr:col>1</xdr:col>
                    <xdr:colOff>104775</xdr:colOff>
                    <xdr:row>41</xdr:row>
                    <xdr:rowOff>266700</xdr:rowOff>
                  </from>
                  <to>
                    <xdr:col>1</xdr:col>
                    <xdr:colOff>409575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9" name="Check Box 29">
              <controlPr defaultSize="0" print="0" autoFill="0" autoLine="0" autoPict="0">
                <anchor moveWithCells="1">
                  <from>
                    <xdr:col>5</xdr:col>
                    <xdr:colOff>85725</xdr:colOff>
                    <xdr:row>41</xdr:row>
                    <xdr:rowOff>276225</xdr:rowOff>
                  </from>
                  <to>
                    <xdr:col>6</xdr:col>
                    <xdr:colOff>9525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20" name="Check Box 30">
              <controlPr defaultSize="0" print="0" autoFill="0" autoLine="0" autoPict="0">
                <anchor moveWithCells="1">
                  <from>
                    <xdr:col>1</xdr:col>
                    <xdr:colOff>142875</xdr:colOff>
                    <xdr:row>48</xdr:row>
                    <xdr:rowOff>266700</xdr:rowOff>
                  </from>
                  <to>
                    <xdr:col>1</xdr:col>
                    <xdr:colOff>447675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21" name="Check Box 31">
              <controlPr defaultSize="0" print="0" autoFill="0" autoLine="0" autoPict="0">
                <anchor moveWithCells="1">
                  <from>
                    <xdr:col>4</xdr:col>
                    <xdr:colOff>85725</xdr:colOff>
                    <xdr:row>48</xdr:row>
                    <xdr:rowOff>266700</xdr:rowOff>
                  </from>
                  <to>
                    <xdr:col>5</xdr:col>
                    <xdr:colOff>9525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22" name="Check Box 32">
              <controlPr defaultSize="0" print="0" autoFill="0" autoLine="0" autoPict="0">
                <anchor moveWithCells="1">
                  <from>
                    <xdr:col>6</xdr:col>
                    <xdr:colOff>85725</xdr:colOff>
                    <xdr:row>48</xdr:row>
                    <xdr:rowOff>276225</xdr:rowOff>
                  </from>
                  <to>
                    <xdr:col>7</xdr:col>
                    <xdr:colOff>9525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23" name="Check Box 2">
              <controlPr defaultSize="0" print="0" autoFill="0" autoLine="0" autoPict="0" altText="">
                <anchor moveWithCells="1">
                  <from>
                    <xdr:col>1</xdr:col>
                    <xdr:colOff>123825</xdr:colOff>
                    <xdr:row>12</xdr:row>
                    <xdr:rowOff>66675</xdr:rowOff>
                  </from>
                  <to>
                    <xdr:col>1</xdr:col>
                    <xdr:colOff>409575</xdr:colOff>
                    <xdr:row>12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24" name="Check Box 3">
              <controlPr defaultSize="0" print="0" autoFill="0" autoLine="0" autoPict="0">
                <anchor moveWithCells="1">
                  <from>
                    <xdr:col>1</xdr:col>
                    <xdr:colOff>123825</xdr:colOff>
                    <xdr:row>13</xdr:row>
                    <xdr:rowOff>38100</xdr:rowOff>
                  </from>
                  <to>
                    <xdr:col>1</xdr:col>
                    <xdr:colOff>352425</xdr:colOff>
                    <xdr:row>13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5" name="Check Box 5">
              <controlPr defaultSize="0" print="0" autoFill="0" autoLine="0" autoPict="0">
                <anchor moveWithCells="1">
                  <from>
                    <xdr:col>8</xdr:col>
                    <xdr:colOff>104775</xdr:colOff>
                    <xdr:row>12</xdr:row>
                    <xdr:rowOff>47625</xdr:rowOff>
                  </from>
                  <to>
                    <xdr:col>8</xdr:col>
                    <xdr:colOff>333375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6" name="Check Box 6">
              <controlPr defaultSize="0" print="0" autoFill="0" autoLine="0" autoPict="0">
                <anchor moveWithCells="1">
                  <from>
                    <xdr:col>8</xdr:col>
                    <xdr:colOff>85725</xdr:colOff>
                    <xdr:row>13</xdr:row>
                    <xdr:rowOff>47625</xdr:rowOff>
                  </from>
                  <to>
                    <xdr:col>8</xdr:col>
                    <xdr:colOff>295275</xdr:colOff>
                    <xdr:row>13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7" name="Check Box 8">
              <controlPr defaultSize="0" print="0" autoFill="0" autoLine="0" autoPict="0">
                <anchor moveWithCells="1">
                  <from>
                    <xdr:col>13</xdr:col>
                    <xdr:colOff>104775</xdr:colOff>
                    <xdr:row>12</xdr:row>
                    <xdr:rowOff>47625</xdr:rowOff>
                  </from>
                  <to>
                    <xdr:col>13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8" name="Check Box 9">
              <controlPr defaultSize="0" print="0" autoFill="0" autoLine="0" autoPict="0">
                <anchor moveWithCells="1">
                  <from>
                    <xdr:col>13</xdr:col>
                    <xdr:colOff>104775</xdr:colOff>
                    <xdr:row>13</xdr:row>
                    <xdr:rowOff>47625</xdr:rowOff>
                  </from>
                  <to>
                    <xdr:col>13</xdr:col>
                    <xdr:colOff>333375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9" name="Check Box 11">
              <controlPr defaultSize="0" print="0" autoFill="0" autoLine="0" autoPict="0">
                <anchor moveWithCells="1">
                  <from>
                    <xdr:col>18</xdr:col>
                    <xdr:colOff>104775</xdr:colOff>
                    <xdr:row>12</xdr:row>
                    <xdr:rowOff>47625</xdr:rowOff>
                  </from>
                  <to>
                    <xdr:col>18</xdr:col>
                    <xdr:colOff>304800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30" name="Check Box 12">
              <controlPr defaultSize="0" print="0" autoFill="0" autoLine="0" autoPict="0">
                <anchor moveWithCells="1">
                  <from>
                    <xdr:col>18</xdr:col>
                    <xdr:colOff>104775</xdr:colOff>
                    <xdr:row>13</xdr:row>
                    <xdr:rowOff>47625</xdr:rowOff>
                  </from>
                  <to>
                    <xdr:col>18</xdr:col>
                    <xdr:colOff>333375</xdr:colOff>
                    <xdr:row>13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1" name="Check Box 33">
              <controlPr defaultSize="0" print="0" autoFill="0" autoLine="0" autoPict="0">
                <anchor moveWithCells="1">
                  <from>
                    <xdr:col>1</xdr:col>
                    <xdr:colOff>114300</xdr:colOff>
                    <xdr:row>53</xdr:row>
                    <xdr:rowOff>9525</xdr:rowOff>
                  </from>
                  <to>
                    <xdr:col>1</xdr:col>
                    <xdr:colOff>314325</xdr:colOff>
                    <xdr:row>53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2" name="Check Box 34">
              <controlPr defaultSize="0" print="0" autoFill="0" autoLine="0" autoPict="0">
                <anchor moveWithCells="1">
                  <from>
                    <xdr:col>3</xdr:col>
                    <xdr:colOff>66675</xdr:colOff>
                    <xdr:row>52</xdr:row>
                    <xdr:rowOff>228600</xdr:rowOff>
                  </from>
                  <to>
                    <xdr:col>3</xdr:col>
                    <xdr:colOff>295275</xdr:colOff>
                    <xdr:row>54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26A6C-31A0-4EE3-94C3-9CF46FD9F93D}">
  <sheetPr codeName="Sheet2">
    <tabColor theme="5" tint="-0.249977111117893"/>
    <pageSetUpPr fitToPage="1"/>
  </sheetPr>
  <dimension ref="A3:AH70"/>
  <sheetViews>
    <sheetView showGridLines="0" zoomScaleNormal="100" workbookViewId="0">
      <selection activeCell="B9" sqref="B9:X13"/>
    </sheetView>
  </sheetViews>
  <sheetFormatPr defaultColWidth="8.85546875" defaultRowHeight="12.75" x14ac:dyDescent="0.2"/>
  <cols>
    <col min="1" max="1" width="4.85546875" style="24" customWidth="1"/>
    <col min="2" max="2" width="6.85546875" style="24" customWidth="1"/>
    <col min="3" max="7" width="5.7109375" style="24" customWidth="1"/>
    <col min="8" max="8" width="10.85546875" style="24" customWidth="1"/>
    <col min="9" max="9" width="5.7109375" style="24" customWidth="1"/>
    <col min="10" max="10" width="6.140625" style="24" customWidth="1"/>
    <col min="11" max="11" width="7.140625" style="24" customWidth="1"/>
    <col min="12" max="12" width="6.7109375" style="24" customWidth="1"/>
    <col min="13" max="13" width="7.42578125" style="24" customWidth="1"/>
    <col min="14" max="14" width="5.85546875" style="24" customWidth="1"/>
    <col min="15" max="17" width="5.7109375" style="24" customWidth="1"/>
    <col min="18" max="18" width="6.42578125" style="24" customWidth="1"/>
    <col min="19" max="19" width="5.7109375" style="24" customWidth="1"/>
    <col min="20" max="20" width="6.140625" style="24" customWidth="1"/>
    <col min="21" max="23" width="5.7109375" style="24" customWidth="1"/>
    <col min="24" max="24" width="9.42578125" style="24" customWidth="1"/>
    <col min="25" max="33" width="4.28515625" style="24" customWidth="1"/>
    <col min="34" max="16384" width="8.85546875" style="24"/>
  </cols>
  <sheetData>
    <row r="3" spans="1:34" ht="40.35" customHeight="1" x14ac:dyDescent="0.2">
      <c r="G3" s="25" t="s">
        <v>0</v>
      </c>
    </row>
    <row r="4" spans="1:34" ht="15.75" x14ac:dyDescent="0.25"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</row>
    <row r="5" spans="1:34" ht="22.5" hidden="1" x14ac:dyDescent="0.2">
      <c r="A5" s="27"/>
    </row>
    <row r="6" spans="1:34" ht="22.5" hidden="1" x14ac:dyDescent="0.2">
      <c r="A6" s="27"/>
    </row>
    <row r="7" spans="1:34" ht="19.7" hidden="1" customHeight="1" x14ac:dyDescent="0.3">
      <c r="B7" s="121" t="str">
        <f>IF(CONTROLS!C2=TRUE,"P","")</f>
        <v>P</v>
      </c>
      <c r="C7" s="29"/>
      <c r="D7" s="121"/>
      <c r="E7" s="29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</row>
    <row r="8" spans="1:34" ht="22.5" x14ac:dyDescent="0.2">
      <c r="A8" s="27" t="s">
        <v>59</v>
      </c>
    </row>
    <row r="9" spans="1:34" x14ac:dyDescent="0.2">
      <c r="B9" s="163" t="s">
        <v>428</v>
      </c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5"/>
    </row>
    <row r="10" spans="1:34" x14ac:dyDescent="0.2">
      <c r="B10" s="166"/>
      <c r="C10" s="167"/>
      <c r="D10" s="167"/>
      <c r="E10" s="167"/>
      <c r="F10" s="167"/>
      <c r="G10" s="167"/>
      <c r="H10" s="167"/>
      <c r="I10" s="167"/>
      <c r="J10" s="167"/>
      <c r="K10" s="167"/>
      <c r="L10" s="167"/>
      <c r="M10" s="167"/>
      <c r="N10" s="167"/>
      <c r="O10" s="167"/>
      <c r="P10" s="167"/>
      <c r="Q10" s="167"/>
      <c r="R10" s="167"/>
      <c r="S10" s="167"/>
      <c r="T10" s="167"/>
      <c r="U10" s="167"/>
      <c r="V10" s="167"/>
      <c r="W10" s="167"/>
      <c r="X10" s="168"/>
    </row>
    <row r="11" spans="1:34" x14ac:dyDescent="0.2">
      <c r="B11" s="166"/>
      <c r="C11" s="167"/>
      <c r="D11" s="167"/>
      <c r="E11" s="167"/>
      <c r="F11" s="167"/>
      <c r="G11" s="167"/>
      <c r="H11" s="167"/>
      <c r="I11" s="167"/>
      <c r="J11" s="167"/>
      <c r="K11" s="167"/>
      <c r="L11" s="167"/>
      <c r="M11" s="167"/>
      <c r="N11" s="167"/>
      <c r="O11" s="167"/>
      <c r="P11" s="167"/>
      <c r="Q11" s="167"/>
      <c r="R11" s="167"/>
      <c r="S11" s="167"/>
      <c r="T11" s="167"/>
      <c r="U11" s="167"/>
      <c r="V11" s="167"/>
      <c r="W11" s="167"/>
      <c r="X11" s="168"/>
    </row>
    <row r="12" spans="1:34" x14ac:dyDescent="0.2">
      <c r="B12" s="166"/>
      <c r="C12" s="167"/>
      <c r="D12" s="167"/>
      <c r="E12" s="167"/>
      <c r="F12" s="167"/>
      <c r="G12" s="167"/>
      <c r="H12" s="167"/>
      <c r="I12" s="167"/>
      <c r="J12" s="167"/>
      <c r="K12" s="167"/>
      <c r="L12" s="167"/>
      <c r="M12" s="167"/>
      <c r="N12" s="167"/>
      <c r="O12" s="167"/>
      <c r="P12" s="167"/>
      <c r="Q12" s="167"/>
      <c r="R12" s="167"/>
      <c r="S12" s="167"/>
      <c r="T12" s="167"/>
      <c r="U12" s="167"/>
      <c r="V12" s="167"/>
      <c r="W12" s="167"/>
      <c r="X12" s="168"/>
    </row>
    <row r="13" spans="1:34" x14ac:dyDescent="0.2">
      <c r="B13" s="169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1"/>
    </row>
    <row r="14" spans="1:34" ht="19.5" x14ac:dyDescent="0.3">
      <c r="B14" s="213" t="s">
        <v>60</v>
      </c>
      <c r="C14" s="213"/>
      <c r="D14" s="213"/>
      <c r="E14" s="213"/>
      <c r="F14" s="213"/>
      <c r="G14" s="213"/>
      <c r="H14" s="213"/>
      <c r="I14" s="162"/>
      <c r="J14" s="162"/>
      <c r="K14" s="162"/>
      <c r="L14" s="162"/>
      <c r="M14" s="162"/>
      <c r="N14" s="213" t="s">
        <v>61</v>
      </c>
      <c r="O14" s="213"/>
      <c r="P14" s="213"/>
      <c r="Q14" s="213"/>
      <c r="R14" s="216"/>
      <c r="S14" s="162"/>
      <c r="T14" s="162"/>
      <c r="U14" s="162"/>
      <c r="V14" s="162"/>
      <c r="W14" s="162"/>
      <c r="X14" s="162"/>
    </row>
    <row r="16" spans="1:34" ht="24.75" x14ac:dyDescent="0.35">
      <c r="B16" s="214" t="s">
        <v>62</v>
      </c>
      <c r="C16" s="214"/>
      <c r="D16" s="216"/>
      <c r="E16" s="162"/>
      <c r="F16" s="162"/>
      <c r="G16" s="214" t="s">
        <v>63</v>
      </c>
      <c r="H16" s="214"/>
      <c r="I16" s="214"/>
      <c r="J16" s="216"/>
      <c r="K16" s="162"/>
      <c r="L16" s="162"/>
      <c r="M16" s="148" t="s">
        <v>64</v>
      </c>
    </row>
    <row r="17" spans="1:24" ht="21.6" customHeight="1" x14ac:dyDescent="0.3">
      <c r="B17" s="29" t="s">
        <v>65</v>
      </c>
      <c r="F17" s="121" t="str">
        <f>IF(CONTROLS!C4=TRUE,"P","")</f>
        <v/>
      </c>
      <c r="G17" s="29" t="s">
        <v>66</v>
      </c>
      <c r="K17" s="121" t="str">
        <f>IF(CONTROLS!C5=TRUE,"P","")</f>
        <v/>
      </c>
      <c r="L17" s="29" t="s">
        <v>67</v>
      </c>
    </row>
    <row r="19" spans="1:24" ht="19.5" x14ac:dyDescent="0.3">
      <c r="R19" s="101"/>
      <c r="S19" s="101"/>
      <c r="T19" s="36"/>
      <c r="U19" s="101"/>
      <c r="V19" s="101"/>
      <c r="W19" s="101"/>
      <c r="X19" s="101"/>
    </row>
    <row r="20" spans="1:24" ht="22.5" x14ac:dyDescent="0.3">
      <c r="A20" s="27" t="s">
        <v>68</v>
      </c>
      <c r="R20" s="101"/>
      <c r="S20" s="101"/>
      <c r="T20" s="36"/>
      <c r="U20" s="101"/>
      <c r="V20" s="101"/>
      <c r="W20" s="101"/>
      <c r="X20" s="101"/>
    </row>
    <row r="21" spans="1:24" ht="21.6" customHeight="1" x14ac:dyDescent="0.3">
      <c r="B21" s="121" t="str">
        <f>IF(CONTROLS!C6=TRUE,"P","")</f>
        <v>P</v>
      </c>
      <c r="C21" s="29" t="s">
        <v>54</v>
      </c>
      <c r="D21" s="121" t="str">
        <f>IF(CONTROLS!C7=TRUE,"P","")</f>
        <v/>
      </c>
      <c r="E21" s="29" t="s">
        <v>69</v>
      </c>
      <c r="T21" s="122"/>
      <c r="V21" s="101"/>
      <c r="W21" s="36"/>
      <c r="X21" s="101"/>
    </row>
    <row r="22" spans="1:24" ht="20.45" customHeight="1" x14ac:dyDescent="0.3">
      <c r="E22" s="29" t="s">
        <v>70</v>
      </c>
      <c r="Q22" s="101"/>
      <c r="R22" s="101"/>
      <c r="S22" s="101"/>
      <c r="T22" s="121" t="str">
        <f>IF(CONTROLS!C8=TRUE,"P","")</f>
        <v/>
      </c>
      <c r="U22" s="101" t="s">
        <v>71</v>
      </c>
      <c r="V22" s="101"/>
      <c r="W22" s="121" t="str">
        <f>IF(CONTROLS!C11=TRUE,"P","")</f>
        <v/>
      </c>
      <c r="X22" s="101" t="s">
        <v>54</v>
      </c>
    </row>
    <row r="23" spans="1:24" ht="20.45" customHeight="1" x14ac:dyDescent="0.3">
      <c r="E23" s="29" t="s">
        <v>72</v>
      </c>
      <c r="T23" s="121" t="str">
        <f>IF(CONTROLS!C9=TRUE,"P","")</f>
        <v/>
      </c>
      <c r="U23" s="29" t="s">
        <v>71</v>
      </c>
      <c r="W23" s="121" t="str">
        <f>IF(CONTROLS!C12=TRUE,"P","")</f>
        <v/>
      </c>
      <c r="X23" s="29" t="s">
        <v>54</v>
      </c>
    </row>
    <row r="24" spans="1:24" x14ac:dyDescent="0.2">
      <c r="T24" s="122"/>
      <c r="W24" s="122"/>
    </row>
    <row r="25" spans="1:24" ht="19.7" customHeight="1" x14ac:dyDescent="0.3">
      <c r="E25" s="29" t="s">
        <v>73</v>
      </c>
      <c r="T25" s="121" t="str">
        <f>IF(CONTROLS!C10=TRUE,"P","")</f>
        <v/>
      </c>
      <c r="U25" s="29" t="s">
        <v>71</v>
      </c>
      <c r="W25" s="121" t="str">
        <f>IF(CONTROLS!C13=TRUE,"P","")</f>
        <v/>
      </c>
      <c r="X25" s="29" t="s">
        <v>54</v>
      </c>
    </row>
    <row r="26" spans="1:24" ht="19.5" x14ac:dyDescent="0.3">
      <c r="E26" s="29" t="s">
        <v>74</v>
      </c>
    </row>
    <row r="28" spans="1:24" ht="19.5" x14ac:dyDescent="0.3">
      <c r="E28" s="29" t="s">
        <v>75</v>
      </c>
    </row>
    <row r="29" spans="1:24" ht="19.5" x14ac:dyDescent="0.3">
      <c r="E29" s="29" t="s">
        <v>76</v>
      </c>
      <c r="L29" s="212"/>
      <c r="M29" s="212"/>
      <c r="N29" s="212"/>
      <c r="O29" s="212"/>
      <c r="P29" s="212"/>
      <c r="Q29" s="212"/>
      <c r="R29" s="212"/>
      <c r="S29" s="212"/>
      <c r="T29" s="212"/>
      <c r="U29" s="212"/>
      <c r="V29" s="212"/>
      <c r="W29" s="212"/>
      <c r="X29" s="212"/>
    </row>
    <row r="30" spans="1:24" ht="31.35" customHeight="1" x14ac:dyDescent="0.2">
      <c r="A30" s="27" t="s">
        <v>77</v>
      </c>
    </row>
    <row r="31" spans="1:24" ht="22.5" x14ac:dyDescent="0.2">
      <c r="B31" s="27" t="s">
        <v>78</v>
      </c>
    </row>
    <row r="32" spans="1:24" ht="19.5" x14ac:dyDescent="0.3">
      <c r="B32" s="226" t="s">
        <v>79</v>
      </c>
      <c r="C32" s="226"/>
      <c r="D32" s="226"/>
      <c r="E32" s="226"/>
      <c r="F32" s="226"/>
      <c r="G32" s="226"/>
      <c r="H32" s="226"/>
      <c r="I32" s="226"/>
      <c r="J32" s="226"/>
      <c r="K32" s="226"/>
      <c r="L32" s="226"/>
      <c r="M32" s="226"/>
      <c r="N32" s="226"/>
      <c r="O32" s="226"/>
      <c r="P32" s="226"/>
      <c r="Q32" s="226"/>
      <c r="R32" s="226"/>
      <c r="S32" s="226"/>
      <c r="T32" s="226"/>
      <c r="U32" s="226"/>
      <c r="V32" s="226"/>
      <c r="W32" s="226"/>
      <c r="X32" s="226"/>
    </row>
    <row r="33" spans="1:26" ht="21" customHeight="1" x14ac:dyDescent="0.2">
      <c r="B33" s="238" t="s">
        <v>80</v>
      </c>
      <c r="C33" s="238"/>
      <c r="D33" s="238"/>
      <c r="E33" s="238"/>
      <c r="F33" s="238"/>
      <c r="G33" s="238"/>
      <c r="H33" s="238"/>
      <c r="I33" s="238" t="s">
        <v>81</v>
      </c>
      <c r="J33" s="238"/>
      <c r="K33" s="238"/>
      <c r="L33" s="238"/>
      <c r="M33" s="238"/>
      <c r="N33" s="238"/>
      <c r="O33" s="238" t="s">
        <v>82</v>
      </c>
      <c r="P33" s="238"/>
      <c r="Q33" s="238"/>
      <c r="R33" s="238"/>
      <c r="S33" s="238"/>
      <c r="T33" s="238"/>
      <c r="U33" s="238"/>
      <c r="V33" s="238"/>
      <c r="W33" s="238"/>
      <c r="X33" s="238"/>
    </row>
    <row r="34" spans="1:26" ht="19.5" x14ac:dyDescent="0.3">
      <c r="B34" s="238"/>
      <c r="C34" s="238"/>
      <c r="D34" s="238"/>
      <c r="E34" s="238"/>
      <c r="F34" s="238"/>
      <c r="G34" s="238"/>
      <c r="H34" s="238"/>
      <c r="I34" s="239" t="s">
        <v>83</v>
      </c>
      <c r="J34" s="239"/>
      <c r="K34" s="239"/>
      <c r="L34" s="239" t="s">
        <v>84</v>
      </c>
      <c r="M34" s="239"/>
      <c r="N34" s="239"/>
      <c r="O34" s="238"/>
      <c r="P34" s="238"/>
      <c r="Q34" s="238"/>
      <c r="R34" s="238"/>
      <c r="S34" s="238"/>
      <c r="T34" s="238"/>
      <c r="U34" s="238"/>
      <c r="V34" s="238"/>
      <c r="W34" s="238"/>
      <c r="X34" s="238"/>
      <c r="Z34" s="30"/>
    </row>
    <row r="35" spans="1:26" ht="22.35" customHeight="1" x14ac:dyDescent="0.2">
      <c r="B35" s="227" t="str">
        <f>IF(B45="","",B45)</f>
        <v xml:space="preserve">Chimeneas </v>
      </c>
      <c r="C35" s="227"/>
      <c r="D35" s="227"/>
      <c r="E35" s="227"/>
      <c r="F35" s="227"/>
      <c r="G35" s="227"/>
      <c r="H35" s="227"/>
      <c r="I35" s="228">
        <f>IF((H45+N45+U45)=0,"",(H45+N45+U45))</f>
        <v>18</v>
      </c>
      <c r="J35" s="228"/>
      <c r="K35" s="228"/>
      <c r="L35" s="228">
        <f>IF((J45+P45+W45)=0,"",(J45+P45+W45))</f>
        <v>125</v>
      </c>
      <c r="M35" s="228"/>
      <c r="N35" s="228"/>
      <c r="O35" s="215"/>
      <c r="P35" s="215"/>
      <c r="Q35" s="215"/>
      <c r="R35" s="215"/>
      <c r="S35" s="215"/>
      <c r="T35" s="215"/>
      <c r="U35" s="215"/>
      <c r="V35" s="215"/>
      <c r="W35" s="215"/>
      <c r="X35" s="215"/>
    </row>
    <row r="36" spans="1:26" ht="22.35" customHeight="1" x14ac:dyDescent="0.2">
      <c r="B36" s="227" t="str">
        <f>IF(B46="","",B46)</f>
        <v/>
      </c>
      <c r="C36" s="227"/>
      <c r="D36" s="227"/>
      <c r="E36" s="227"/>
      <c r="F36" s="227"/>
      <c r="G36" s="227"/>
      <c r="H36" s="227"/>
      <c r="I36" s="228" t="str">
        <f>IF((H46+N46+U46)=0,"",(H46+N46+U46))</f>
        <v/>
      </c>
      <c r="J36" s="228"/>
      <c r="K36" s="228"/>
      <c r="L36" s="228" t="str">
        <f>IF((J46+P46+W46)=0,"",(J46+P46+W46))</f>
        <v/>
      </c>
      <c r="M36" s="228"/>
      <c r="N36" s="228"/>
      <c r="O36" s="215"/>
      <c r="P36" s="215"/>
      <c r="Q36" s="215"/>
      <c r="R36" s="215"/>
      <c r="S36" s="215"/>
      <c r="T36" s="215"/>
      <c r="U36" s="215"/>
      <c r="V36" s="215"/>
      <c r="W36" s="215"/>
      <c r="X36" s="215"/>
    </row>
    <row r="37" spans="1:26" ht="19.350000000000001" customHeight="1" x14ac:dyDescent="0.3">
      <c r="B37" s="220" t="s">
        <v>85</v>
      </c>
      <c r="C37" s="221"/>
      <c r="D37" s="221"/>
      <c r="E37" s="221"/>
      <c r="F37" s="221"/>
      <c r="G37" s="221"/>
      <c r="H37" s="221"/>
      <c r="I37" s="221"/>
      <c r="J37" s="221"/>
      <c r="K37" s="221"/>
      <c r="L37" s="221"/>
      <c r="M37" s="221"/>
      <c r="N37" s="221"/>
      <c r="O37" s="221"/>
      <c r="P37" s="221"/>
      <c r="Q37" s="221"/>
      <c r="R37" s="221"/>
      <c r="S37" s="221"/>
      <c r="T37" s="221"/>
      <c r="U37" s="221"/>
      <c r="V37" s="221"/>
      <c r="W37" s="221"/>
      <c r="X37" s="222"/>
    </row>
    <row r="38" spans="1:26" ht="19.350000000000001" customHeight="1" x14ac:dyDescent="0.25">
      <c r="B38" s="223" t="s">
        <v>86</v>
      </c>
      <c r="C38" s="224"/>
      <c r="D38" s="224"/>
      <c r="E38" s="224"/>
      <c r="F38" s="224"/>
      <c r="G38" s="224"/>
      <c r="H38" s="224"/>
      <c r="I38" s="224"/>
      <c r="J38" s="224"/>
      <c r="K38" s="224"/>
      <c r="L38" s="224"/>
      <c r="M38" s="224"/>
      <c r="N38" s="224"/>
      <c r="O38" s="224"/>
      <c r="P38" s="224"/>
      <c r="Q38" s="224"/>
      <c r="R38" s="224"/>
      <c r="S38" s="224"/>
      <c r="T38" s="224"/>
      <c r="U38" s="224"/>
      <c r="V38" s="224"/>
      <c r="W38" s="224"/>
      <c r="X38" s="225"/>
    </row>
    <row r="39" spans="1:26" x14ac:dyDescent="0.2">
      <c r="F39" s="106">
        <f>IF(F45="","",1)</f>
        <v>1</v>
      </c>
      <c r="G39" s="106"/>
      <c r="H39" s="106">
        <f>IF(H45="","",1)</f>
        <v>1</v>
      </c>
      <c r="I39" s="106"/>
      <c r="J39" s="106">
        <f>IF(J45="","",1)</f>
        <v>1</v>
      </c>
      <c r="K39" s="106"/>
      <c r="L39" s="106" t="str">
        <f>IF(L45="","",1)</f>
        <v/>
      </c>
      <c r="M39" s="106"/>
      <c r="N39" s="106" t="str">
        <f>IF(N45="","",1)</f>
        <v/>
      </c>
      <c r="O39" s="106"/>
      <c r="P39" s="106" t="str">
        <f>IF(P45="","",1)</f>
        <v/>
      </c>
      <c r="Q39" s="106"/>
      <c r="R39" s="106"/>
      <c r="S39" s="106" t="str">
        <f>IF(S45="","",1)</f>
        <v/>
      </c>
      <c r="T39" s="106"/>
      <c r="U39" s="106" t="str">
        <f>IF(U45="","",1)</f>
        <v/>
      </c>
      <c r="V39" s="106"/>
      <c r="W39" s="106" t="str">
        <f>IF(W45="","",1)</f>
        <v/>
      </c>
      <c r="X39" s="106"/>
    </row>
    <row r="40" spans="1:26" ht="19.5" x14ac:dyDescent="0.3">
      <c r="B40" s="226" t="s">
        <v>87</v>
      </c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226"/>
      <c r="Q40" s="226"/>
      <c r="R40" s="226"/>
      <c r="S40" s="226"/>
      <c r="T40" s="226"/>
      <c r="U40" s="226"/>
      <c r="V40" s="226"/>
      <c r="W40" s="226"/>
      <c r="X40" s="226"/>
    </row>
    <row r="41" spans="1:26" s="30" customFormat="1" ht="22.35" customHeight="1" x14ac:dyDescent="0.3">
      <c r="B41" s="243" t="s">
        <v>88</v>
      </c>
      <c r="C41" s="243"/>
      <c r="D41" s="243"/>
      <c r="E41" s="243"/>
      <c r="F41" s="240" t="s">
        <v>89</v>
      </c>
      <c r="G41" s="240"/>
      <c r="H41" s="240"/>
      <c r="I41" s="240"/>
      <c r="J41" s="240"/>
      <c r="K41" s="240"/>
      <c r="L41" s="240"/>
      <c r="M41" s="240"/>
      <c r="N41" s="240"/>
      <c r="O41" s="240"/>
      <c r="P41" s="240"/>
      <c r="Q41" s="240"/>
      <c r="R41" s="240"/>
      <c r="S41" s="240"/>
      <c r="T41" s="240"/>
      <c r="U41" s="240"/>
      <c r="V41" s="240"/>
      <c r="W41" s="240"/>
      <c r="X41" s="240"/>
    </row>
    <row r="42" spans="1:26" ht="19.5" x14ac:dyDescent="0.3">
      <c r="B42" s="243"/>
      <c r="C42" s="243"/>
      <c r="D42" s="243"/>
      <c r="E42" s="243"/>
      <c r="F42" s="240" t="s">
        <v>90</v>
      </c>
      <c r="G42" s="240"/>
      <c r="H42" s="240"/>
      <c r="I42" s="240"/>
      <c r="J42" s="240"/>
      <c r="K42" s="240"/>
      <c r="L42" s="240" t="s">
        <v>91</v>
      </c>
      <c r="M42" s="240"/>
      <c r="N42" s="240"/>
      <c r="O42" s="240"/>
      <c r="P42" s="240"/>
      <c r="Q42" s="240"/>
      <c r="R42" s="240"/>
      <c r="S42" s="240" t="s">
        <v>92</v>
      </c>
      <c r="T42" s="240"/>
      <c r="U42" s="240"/>
      <c r="V42" s="240"/>
      <c r="W42" s="240"/>
      <c r="X42" s="240"/>
    </row>
    <row r="43" spans="1:26" ht="19.5" x14ac:dyDescent="0.3">
      <c r="B43" s="243"/>
      <c r="C43" s="243"/>
      <c r="D43" s="243"/>
      <c r="E43" s="243"/>
      <c r="F43" s="208" t="s">
        <v>93</v>
      </c>
      <c r="G43" s="209"/>
      <c r="H43" s="208" t="s">
        <v>83</v>
      </c>
      <c r="I43" s="209"/>
      <c r="J43" s="208" t="s">
        <v>94</v>
      </c>
      <c r="K43" s="209"/>
      <c r="L43" s="208" t="s">
        <v>93</v>
      </c>
      <c r="M43" s="209"/>
      <c r="N43" s="208" t="s">
        <v>83</v>
      </c>
      <c r="O43" s="209"/>
      <c r="P43" s="208" t="s">
        <v>94</v>
      </c>
      <c r="Q43" s="241"/>
      <c r="R43" s="209"/>
      <c r="S43" s="208" t="s">
        <v>93</v>
      </c>
      <c r="T43" s="209"/>
      <c r="U43" s="208" t="s">
        <v>83</v>
      </c>
      <c r="V43" s="209"/>
      <c r="W43" s="208" t="s">
        <v>94</v>
      </c>
      <c r="X43" s="209"/>
    </row>
    <row r="44" spans="1:26" ht="19.5" x14ac:dyDescent="0.3">
      <c r="B44" s="243"/>
      <c r="C44" s="243"/>
      <c r="D44" s="243"/>
      <c r="E44" s="243"/>
      <c r="F44" s="210" t="s">
        <v>95</v>
      </c>
      <c r="G44" s="211"/>
      <c r="H44" s="210" t="s">
        <v>96</v>
      </c>
      <c r="I44" s="211"/>
      <c r="J44" s="210" t="s">
        <v>96</v>
      </c>
      <c r="K44" s="211"/>
      <c r="L44" s="210" t="s">
        <v>97</v>
      </c>
      <c r="M44" s="211"/>
      <c r="N44" s="210" t="s">
        <v>96</v>
      </c>
      <c r="O44" s="211"/>
      <c r="P44" s="210" t="s">
        <v>96</v>
      </c>
      <c r="Q44" s="242"/>
      <c r="R44" s="211"/>
      <c r="S44" s="210" t="s">
        <v>98</v>
      </c>
      <c r="T44" s="211"/>
      <c r="U44" s="210" t="s">
        <v>96</v>
      </c>
      <c r="V44" s="211"/>
      <c r="W44" s="210" t="s">
        <v>96</v>
      </c>
      <c r="X44" s="211"/>
    </row>
    <row r="45" spans="1:26" ht="20.45" customHeight="1" x14ac:dyDescent="0.3">
      <c r="A45" s="106">
        <f>IF(SUM(F39:X39)&lt;3,"",SUM(F39:X39))</f>
        <v>3</v>
      </c>
      <c r="B45" s="215" t="s">
        <v>438</v>
      </c>
      <c r="C45" s="215"/>
      <c r="D45" s="215"/>
      <c r="E45" s="215"/>
      <c r="F45" s="207" t="s">
        <v>437</v>
      </c>
      <c r="G45" s="207"/>
      <c r="H45" s="206">
        <v>18</v>
      </c>
      <c r="I45" s="206"/>
      <c r="J45" s="206">
        <v>125</v>
      </c>
      <c r="K45" s="206"/>
      <c r="L45" s="207"/>
      <c r="M45" s="207"/>
      <c r="N45" s="206"/>
      <c r="O45" s="206"/>
      <c r="P45" s="206"/>
      <c r="Q45" s="206"/>
      <c r="R45" s="206"/>
      <c r="S45" s="207"/>
      <c r="T45" s="207"/>
      <c r="U45" s="206"/>
      <c r="V45" s="206"/>
      <c r="W45" s="206"/>
      <c r="X45" s="206"/>
    </row>
    <row r="46" spans="1:26" ht="20.45" customHeight="1" x14ac:dyDescent="0.3">
      <c r="B46" s="215"/>
      <c r="C46" s="215"/>
      <c r="D46" s="215"/>
      <c r="E46" s="215"/>
      <c r="F46" s="207"/>
      <c r="G46" s="207"/>
      <c r="H46" s="206"/>
      <c r="I46" s="206"/>
      <c r="J46" s="206"/>
      <c r="K46" s="206"/>
      <c r="L46" s="207"/>
      <c r="M46" s="207"/>
      <c r="N46" s="206"/>
      <c r="O46" s="206"/>
      <c r="P46" s="206"/>
      <c r="Q46" s="206"/>
      <c r="R46" s="206"/>
      <c r="S46" s="207"/>
      <c r="T46" s="207"/>
      <c r="U46" s="206"/>
      <c r="V46" s="206"/>
      <c r="W46" s="206"/>
      <c r="X46" s="206"/>
    </row>
    <row r="47" spans="1:26" ht="23.45" customHeight="1" x14ac:dyDescent="0.2">
      <c r="B47" s="202" t="s">
        <v>99</v>
      </c>
      <c r="C47" s="203"/>
      <c r="D47" s="203"/>
      <c r="E47" s="203"/>
      <c r="F47" s="203"/>
      <c r="G47" s="203"/>
      <c r="H47" s="203"/>
      <c r="I47" s="203"/>
      <c r="J47" s="203"/>
      <c r="K47" s="203"/>
      <c r="L47" s="203"/>
      <c r="M47" s="204" t="s">
        <v>428</v>
      </c>
      <c r="N47" s="204"/>
      <c r="O47" s="204"/>
      <c r="P47" s="204"/>
      <c r="Q47" s="204"/>
      <c r="R47" s="204"/>
      <c r="S47" s="204"/>
      <c r="T47" s="204"/>
      <c r="U47" s="204"/>
      <c r="V47" s="204"/>
      <c r="W47" s="204"/>
      <c r="X47" s="205"/>
    </row>
    <row r="48" spans="1:26" ht="23.45" customHeight="1" x14ac:dyDescent="0.2">
      <c r="B48" s="229"/>
      <c r="C48" s="167"/>
      <c r="D48" s="167"/>
      <c r="E48" s="167"/>
      <c r="F48" s="167"/>
      <c r="G48" s="167"/>
      <c r="H48" s="167"/>
      <c r="I48" s="167"/>
      <c r="J48" s="167"/>
      <c r="K48" s="167"/>
      <c r="L48" s="167"/>
      <c r="M48" s="167"/>
      <c r="N48" s="167"/>
      <c r="O48" s="167"/>
      <c r="P48" s="167"/>
      <c r="Q48" s="167"/>
      <c r="R48" s="167"/>
      <c r="S48" s="167"/>
      <c r="T48" s="167"/>
      <c r="U48" s="167"/>
      <c r="V48" s="167"/>
      <c r="W48" s="167"/>
      <c r="X48" s="230"/>
    </row>
    <row r="49" spans="1:24" ht="23.45" customHeight="1" x14ac:dyDescent="0.2">
      <c r="B49" s="231"/>
      <c r="C49" s="232"/>
      <c r="D49" s="232"/>
      <c r="E49" s="232"/>
      <c r="F49" s="232"/>
      <c r="G49" s="232"/>
      <c r="H49" s="232"/>
      <c r="I49" s="232"/>
      <c r="J49" s="232"/>
      <c r="K49" s="232"/>
      <c r="L49" s="232"/>
      <c r="M49" s="232"/>
      <c r="N49" s="232"/>
      <c r="O49" s="232"/>
      <c r="P49" s="232"/>
      <c r="Q49" s="232"/>
      <c r="R49" s="232"/>
      <c r="S49" s="232"/>
      <c r="T49" s="232"/>
      <c r="U49" s="232"/>
      <c r="V49" s="232"/>
      <c r="W49" s="232"/>
      <c r="X49" s="233"/>
    </row>
    <row r="50" spans="1:24" ht="24" customHeight="1" x14ac:dyDescent="0.2">
      <c r="B50" s="234" t="s">
        <v>100</v>
      </c>
      <c r="C50" s="235"/>
      <c r="D50" s="235"/>
      <c r="E50" s="235"/>
      <c r="F50" s="235"/>
      <c r="G50" s="235"/>
      <c r="H50" s="235"/>
      <c r="I50" s="235"/>
      <c r="J50" s="235"/>
      <c r="K50" s="235"/>
      <c r="L50" s="235"/>
      <c r="M50" s="235"/>
      <c r="N50" s="235"/>
      <c r="O50" s="235"/>
      <c r="P50" s="235"/>
      <c r="Q50" s="235"/>
      <c r="R50" s="235"/>
      <c r="S50" s="235"/>
      <c r="T50" s="235"/>
      <c r="U50" s="235"/>
      <c r="V50" s="235"/>
      <c r="W50" s="235"/>
      <c r="X50" s="236"/>
    </row>
    <row r="52" spans="1:24" s="31" customFormat="1" ht="21" customHeight="1" x14ac:dyDescent="0.25">
      <c r="A52" s="144" t="s">
        <v>101</v>
      </c>
    </row>
    <row r="53" spans="1:24" s="31" customFormat="1" ht="21" customHeight="1" x14ac:dyDescent="0.25">
      <c r="A53" s="143" t="s">
        <v>102</v>
      </c>
    </row>
    <row r="54" spans="1:24" s="31" customFormat="1" ht="9.6" customHeight="1" x14ac:dyDescent="0.25"/>
    <row r="55" spans="1:24" x14ac:dyDescent="0.2">
      <c r="B55" s="217" t="s">
        <v>103</v>
      </c>
      <c r="C55" s="217"/>
      <c r="D55" s="217"/>
      <c r="E55" s="217"/>
      <c r="F55" s="217"/>
      <c r="G55" s="217"/>
      <c r="H55" s="217"/>
      <c r="I55" s="217"/>
      <c r="J55" s="217"/>
      <c r="K55" s="217"/>
      <c r="L55" s="217"/>
      <c r="M55" s="217"/>
      <c r="N55" s="217"/>
      <c r="O55" s="217"/>
      <c r="P55" s="217"/>
      <c r="Q55" s="217"/>
      <c r="R55" s="217"/>
      <c r="S55" s="217"/>
      <c r="T55" s="217"/>
      <c r="U55" s="217"/>
    </row>
    <row r="56" spans="1:24" x14ac:dyDescent="0.2">
      <c r="B56" s="217"/>
      <c r="C56" s="217"/>
      <c r="D56" s="217"/>
      <c r="E56" s="217"/>
      <c r="F56" s="217"/>
      <c r="G56" s="217"/>
      <c r="H56" s="217"/>
      <c r="I56" s="217"/>
      <c r="J56" s="217"/>
      <c r="K56" s="217"/>
      <c r="L56" s="217"/>
      <c r="M56" s="217"/>
      <c r="N56" s="217"/>
      <c r="O56" s="217"/>
      <c r="P56" s="217"/>
      <c r="Q56" s="217"/>
      <c r="R56" s="217"/>
      <c r="S56" s="217"/>
      <c r="T56" s="217"/>
      <c r="U56" s="217"/>
    </row>
    <row r="57" spans="1:24" ht="19.7" customHeight="1" x14ac:dyDescent="0.2">
      <c r="B57" s="218" t="s">
        <v>104</v>
      </c>
      <c r="C57" s="218"/>
      <c r="D57" s="218"/>
      <c r="E57" s="218"/>
      <c r="F57" s="218"/>
      <c r="G57" s="218"/>
      <c r="H57" s="218"/>
      <c r="I57" s="219" t="s">
        <v>105</v>
      </c>
      <c r="J57" s="219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</row>
    <row r="58" spans="1:24" ht="19.7" customHeight="1" x14ac:dyDescent="0.2">
      <c r="B58" s="237" t="s">
        <v>106</v>
      </c>
      <c r="C58" s="237"/>
      <c r="D58" s="237"/>
      <c r="E58" s="237"/>
      <c r="F58" s="237"/>
      <c r="G58" s="237"/>
      <c r="H58" s="237"/>
      <c r="I58" s="244">
        <v>0</v>
      </c>
      <c r="J58" s="245"/>
      <c r="K58" s="246" t="s">
        <v>107</v>
      </c>
      <c r="L58" s="246"/>
      <c r="M58" s="246"/>
      <c r="N58" s="246"/>
      <c r="O58" s="246"/>
      <c r="P58" s="246"/>
      <c r="Q58" s="246"/>
      <c r="R58" s="246"/>
      <c r="S58" s="246"/>
      <c r="T58" s="246"/>
      <c r="U58" s="247"/>
    </row>
    <row r="59" spans="1:24" ht="19.7" customHeight="1" x14ac:dyDescent="0.2">
      <c r="B59" s="237" t="s">
        <v>108</v>
      </c>
      <c r="C59" s="237"/>
      <c r="D59" s="237"/>
      <c r="E59" s="237"/>
      <c r="F59" s="237"/>
      <c r="G59" s="237"/>
      <c r="H59" s="237"/>
      <c r="I59" s="244">
        <v>1.5</v>
      </c>
      <c r="J59" s="245"/>
      <c r="K59" s="246" t="s">
        <v>107</v>
      </c>
      <c r="L59" s="246"/>
      <c r="M59" s="246"/>
      <c r="N59" s="246"/>
      <c r="O59" s="246"/>
      <c r="P59" s="246"/>
      <c r="Q59" s="246"/>
      <c r="R59" s="246"/>
      <c r="S59" s="246"/>
      <c r="T59" s="246"/>
      <c r="U59" s="247"/>
    </row>
    <row r="60" spans="1:24" ht="19.7" customHeight="1" x14ac:dyDescent="0.2">
      <c r="B60" s="237" t="s">
        <v>109</v>
      </c>
      <c r="C60" s="237"/>
      <c r="D60" s="237"/>
      <c r="E60" s="237"/>
      <c r="F60" s="237"/>
      <c r="G60" s="237"/>
      <c r="H60" s="237"/>
      <c r="I60" s="244">
        <v>1.5</v>
      </c>
      <c r="J60" s="245"/>
      <c r="K60" s="246" t="s">
        <v>107</v>
      </c>
      <c r="L60" s="246"/>
      <c r="M60" s="246"/>
      <c r="N60" s="246"/>
      <c r="O60" s="246"/>
      <c r="P60" s="246"/>
      <c r="Q60" s="246"/>
      <c r="R60" s="246"/>
      <c r="S60" s="246"/>
      <c r="T60" s="246"/>
      <c r="U60" s="247"/>
    </row>
    <row r="61" spans="1:24" ht="19.7" customHeight="1" x14ac:dyDescent="0.2">
      <c r="B61" s="237" t="s">
        <v>110</v>
      </c>
      <c r="C61" s="237"/>
      <c r="D61" s="237"/>
      <c r="E61" s="237"/>
      <c r="F61" s="237"/>
      <c r="G61" s="237"/>
      <c r="H61" s="237"/>
      <c r="I61" s="244">
        <v>0.7</v>
      </c>
      <c r="J61" s="245"/>
      <c r="K61" s="246" t="s">
        <v>107</v>
      </c>
      <c r="L61" s="246"/>
      <c r="M61" s="246"/>
      <c r="N61" s="246"/>
      <c r="O61" s="246"/>
      <c r="P61" s="246"/>
      <c r="Q61" s="246"/>
      <c r="R61" s="246"/>
      <c r="S61" s="246"/>
      <c r="T61" s="246"/>
      <c r="U61" s="247"/>
    </row>
    <row r="62" spans="1:24" ht="19.7" customHeight="1" x14ac:dyDescent="0.2">
      <c r="B62" s="237" t="s">
        <v>111</v>
      </c>
      <c r="C62" s="237"/>
      <c r="D62" s="237"/>
      <c r="E62" s="237"/>
      <c r="F62" s="237"/>
      <c r="G62" s="237"/>
      <c r="H62" s="237"/>
      <c r="I62" s="244" t="s">
        <v>436</v>
      </c>
      <c r="J62" s="245"/>
      <c r="K62" s="246" t="s">
        <v>107</v>
      </c>
      <c r="L62" s="246"/>
      <c r="M62" s="246"/>
      <c r="N62" s="246"/>
      <c r="O62" s="246"/>
      <c r="P62" s="246"/>
      <c r="Q62" s="246"/>
      <c r="R62" s="246"/>
      <c r="S62" s="246"/>
      <c r="T62" s="246"/>
      <c r="U62" s="247"/>
    </row>
    <row r="63" spans="1:24" ht="19.7" customHeight="1" x14ac:dyDescent="0.2">
      <c r="B63" s="218" t="s">
        <v>112</v>
      </c>
      <c r="C63" s="218"/>
      <c r="D63" s="218"/>
      <c r="E63" s="218"/>
      <c r="F63" s="218"/>
      <c r="G63" s="218"/>
      <c r="H63" s="218"/>
      <c r="I63" s="219" t="s">
        <v>105</v>
      </c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</row>
    <row r="64" spans="1:24" ht="19.7" customHeight="1" x14ac:dyDescent="0.2">
      <c r="B64" s="248" t="s">
        <v>113</v>
      </c>
      <c r="C64" s="246"/>
      <c r="D64" s="246"/>
      <c r="E64" s="246"/>
      <c r="F64" s="246"/>
      <c r="G64" s="246"/>
      <c r="H64" s="247"/>
      <c r="I64" s="244">
        <v>3.5</v>
      </c>
      <c r="J64" s="245"/>
      <c r="K64" s="246" t="s">
        <v>107</v>
      </c>
      <c r="L64" s="246"/>
      <c r="M64" s="246"/>
      <c r="N64" s="246"/>
      <c r="O64" s="246"/>
      <c r="P64" s="246"/>
      <c r="Q64" s="246"/>
      <c r="R64" s="246"/>
      <c r="S64" s="246"/>
      <c r="T64" s="246"/>
      <c r="U64" s="247"/>
    </row>
    <row r="65" spans="1:23" ht="19.7" customHeight="1" x14ac:dyDescent="0.2">
      <c r="B65" s="248" t="s">
        <v>114</v>
      </c>
      <c r="C65" s="246"/>
      <c r="D65" s="246"/>
      <c r="E65" s="246"/>
      <c r="F65" s="246"/>
      <c r="G65" s="246"/>
      <c r="H65" s="247"/>
      <c r="I65" s="244" t="s">
        <v>436</v>
      </c>
      <c r="J65" s="245"/>
      <c r="K65" s="246" t="s">
        <v>107</v>
      </c>
      <c r="L65" s="246"/>
      <c r="M65" s="246"/>
      <c r="N65" s="246"/>
      <c r="O65" s="246"/>
      <c r="P65" s="246"/>
      <c r="Q65" s="246"/>
      <c r="R65" s="246"/>
      <c r="S65" s="246"/>
      <c r="T65" s="246"/>
      <c r="U65" s="247"/>
    </row>
    <row r="66" spans="1:23" ht="19.7" customHeight="1" x14ac:dyDescent="0.2">
      <c r="B66" s="218" t="s">
        <v>115</v>
      </c>
      <c r="C66" s="218"/>
      <c r="D66" s="218"/>
      <c r="E66" s="218"/>
      <c r="F66" s="218"/>
      <c r="G66" s="218"/>
      <c r="H66" s="218"/>
      <c r="I66" s="219" t="s">
        <v>105</v>
      </c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19"/>
      <c r="U66" s="219"/>
    </row>
    <row r="67" spans="1:23" ht="18.75" x14ac:dyDescent="0.3">
      <c r="A67" s="26" t="s">
        <v>116</v>
      </c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O67" s="33"/>
      <c r="P67" s="33"/>
      <c r="Q67" s="33"/>
      <c r="R67" s="33"/>
      <c r="S67" s="33"/>
      <c r="T67" s="26"/>
      <c r="U67" s="26"/>
      <c r="V67" s="26"/>
      <c r="W67" s="34" t="s">
        <v>57</v>
      </c>
    </row>
    <row r="68" spans="1:23" ht="18.75" x14ac:dyDescent="0.3"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33"/>
      <c r="O68" s="33"/>
      <c r="P68" s="33"/>
      <c r="Q68" s="33"/>
      <c r="R68" s="33"/>
      <c r="T68" s="26"/>
      <c r="U68" s="26"/>
      <c r="V68" s="26"/>
      <c r="W68" s="35" t="s">
        <v>58</v>
      </c>
    </row>
    <row r="69" spans="1:23" ht="15.75" x14ac:dyDescent="0.25"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</row>
    <row r="70" spans="1:23" ht="15.75" x14ac:dyDescent="0.25"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</row>
  </sheetData>
  <sheetProtection algorithmName="SHA-512" hashValue="ltyC7MXN0Tb4tHSomWdCpLV7kGFFXGuelZ9YEUFVpNJm9TNBWOpZnfXJoxmJGPfNV00fF33/FJZ7ybFrDYkGKw==" saltValue="aNFRB3bYTlksx7yNT1AXZw==" spinCount="100000" sheet="1" objects="1" scenarios="1"/>
  <mergeCells count="102">
    <mergeCell ref="I65:J65"/>
    <mergeCell ref="K65:U65"/>
    <mergeCell ref="B65:H65"/>
    <mergeCell ref="B66:H66"/>
    <mergeCell ref="I66:U66"/>
    <mergeCell ref="K58:U58"/>
    <mergeCell ref="I58:J58"/>
    <mergeCell ref="I59:J59"/>
    <mergeCell ref="K59:U59"/>
    <mergeCell ref="I60:J60"/>
    <mergeCell ref="K60:U60"/>
    <mergeCell ref="I61:J61"/>
    <mergeCell ref="K61:U61"/>
    <mergeCell ref="I62:J62"/>
    <mergeCell ref="K62:U62"/>
    <mergeCell ref="I64:J64"/>
    <mergeCell ref="K64:U64"/>
    <mergeCell ref="B62:H62"/>
    <mergeCell ref="B63:H63"/>
    <mergeCell ref="I63:U63"/>
    <mergeCell ref="B64:H64"/>
    <mergeCell ref="B59:H59"/>
    <mergeCell ref="B60:H60"/>
    <mergeCell ref="B61:H61"/>
    <mergeCell ref="B58:H58"/>
    <mergeCell ref="B32:X32"/>
    <mergeCell ref="B33:H34"/>
    <mergeCell ref="I33:N33"/>
    <mergeCell ref="I34:K34"/>
    <mergeCell ref="L34:N34"/>
    <mergeCell ref="O33:X34"/>
    <mergeCell ref="F41:X41"/>
    <mergeCell ref="F42:K42"/>
    <mergeCell ref="L42:R42"/>
    <mergeCell ref="S42:X42"/>
    <mergeCell ref="F44:G44"/>
    <mergeCell ref="H44:I44"/>
    <mergeCell ref="J44:K44"/>
    <mergeCell ref="P43:R43"/>
    <mergeCell ref="N43:O43"/>
    <mergeCell ref="L43:M43"/>
    <mergeCell ref="L44:M44"/>
    <mergeCell ref="N44:O44"/>
    <mergeCell ref="P44:R44"/>
    <mergeCell ref="F43:G43"/>
    <mergeCell ref="B41:E44"/>
    <mergeCell ref="W44:X44"/>
    <mergeCell ref="J45:K45"/>
    <mergeCell ref="B55:U56"/>
    <mergeCell ref="B57:H57"/>
    <mergeCell ref="I57:U57"/>
    <mergeCell ref="O35:X35"/>
    <mergeCell ref="O36:X36"/>
    <mergeCell ref="B37:X37"/>
    <mergeCell ref="B38:X38"/>
    <mergeCell ref="B40:X40"/>
    <mergeCell ref="B35:H35"/>
    <mergeCell ref="B36:H36"/>
    <mergeCell ref="I35:K35"/>
    <mergeCell ref="L35:N35"/>
    <mergeCell ref="I36:K36"/>
    <mergeCell ref="L36:N36"/>
    <mergeCell ref="H46:I46"/>
    <mergeCell ref="J46:K46"/>
    <mergeCell ref="L46:M46"/>
    <mergeCell ref="N46:O46"/>
    <mergeCell ref="P46:R46"/>
    <mergeCell ref="F45:G45"/>
    <mergeCell ref="U44:V44"/>
    <mergeCell ref="B48:X49"/>
    <mergeCell ref="B50:X50"/>
    <mergeCell ref="S46:T46"/>
    <mergeCell ref="L29:X29"/>
    <mergeCell ref="N14:Q14"/>
    <mergeCell ref="B14:H14"/>
    <mergeCell ref="G16:I16"/>
    <mergeCell ref="B16:C16"/>
    <mergeCell ref="W46:X46"/>
    <mergeCell ref="B45:E45"/>
    <mergeCell ref="B46:E46"/>
    <mergeCell ref="B9:X13"/>
    <mergeCell ref="I14:M14"/>
    <mergeCell ref="R14:X14"/>
    <mergeCell ref="D16:F16"/>
    <mergeCell ref="J16:L16"/>
    <mergeCell ref="L45:M45"/>
    <mergeCell ref="N45:O45"/>
    <mergeCell ref="S43:T43"/>
    <mergeCell ref="J43:K43"/>
    <mergeCell ref="B47:L47"/>
    <mergeCell ref="M47:X47"/>
    <mergeCell ref="P45:R45"/>
    <mergeCell ref="S45:T45"/>
    <mergeCell ref="U45:V45"/>
    <mergeCell ref="W45:X45"/>
    <mergeCell ref="F46:G46"/>
    <mergeCell ref="H43:I43"/>
    <mergeCell ref="W43:X43"/>
    <mergeCell ref="H45:I45"/>
    <mergeCell ref="S44:T44"/>
    <mergeCell ref="U43:V43"/>
    <mergeCell ref="U46:V46"/>
  </mergeCells>
  <conditionalFormatting sqref="I58:J58">
    <cfRule type="notContainsBlanks" dxfId="135" priority="4">
      <formula>LEN(TRIM(I58))&gt;0</formula>
    </cfRule>
  </conditionalFormatting>
  <conditionalFormatting sqref="I59:J62">
    <cfRule type="notContainsBlanks" dxfId="134" priority="3">
      <formula>LEN(TRIM(I59))&gt;0</formula>
    </cfRule>
  </conditionalFormatting>
  <conditionalFormatting sqref="I64:J64">
    <cfRule type="notContainsBlanks" dxfId="133" priority="2">
      <formula>LEN(TRIM(I64))&gt;0</formula>
    </cfRule>
  </conditionalFormatting>
  <conditionalFormatting sqref="I65:J65">
    <cfRule type="notContainsBlanks" dxfId="132" priority="1">
      <formula>LEN(TRIM(I65))&gt;0</formula>
    </cfRule>
  </conditionalFormatting>
  <pageMargins left="0.7" right="0.7" top="0.25" bottom="0.25" header="0.3" footer="0.3"/>
  <pageSetup scale="5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" r:id="rId4" name="Check Box 10">
              <controlPr defaultSize="0" print="0" autoFill="0" autoLine="0" autoPict="0">
                <anchor moveWithCells="1">
                  <from>
                    <xdr:col>19</xdr:col>
                    <xdr:colOff>114300</xdr:colOff>
                    <xdr:row>24</xdr:row>
                    <xdr:rowOff>9525</xdr:rowOff>
                  </from>
                  <to>
                    <xdr:col>19</xdr:col>
                    <xdr:colOff>314325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Check Box 11">
              <controlPr defaultSize="0" print="0" autoFill="0" autoLine="0" autoPict="0">
                <anchor moveWithCells="1">
                  <from>
                    <xdr:col>10</xdr:col>
                    <xdr:colOff>142875</xdr:colOff>
                    <xdr:row>16</xdr:row>
                    <xdr:rowOff>38100</xdr:rowOff>
                  </from>
                  <to>
                    <xdr:col>10</xdr:col>
                    <xdr:colOff>371475</xdr:colOff>
                    <xdr:row>16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Check Box 12">
              <controlPr defaultSize="0" print="0" autoFill="0" autoLine="0" autoPict="0">
                <anchor moveWithCells="1">
                  <from>
                    <xdr:col>19</xdr:col>
                    <xdr:colOff>114300</xdr:colOff>
                    <xdr:row>21</xdr:row>
                    <xdr:rowOff>28575</xdr:rowOff>
                  </from>
                  <to>
                    <xdr:col>19</xdr:col>
                    <xdr:colOff>314325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7" name="Check Box 18">
              <controlPr defaultSize="0" print="0" autoFill="0" autoLine="0" autoPict="0">
                <anchor moveWithCells="1">
                  <from>
                    <xdr:col>5</xdr:col>
                    <xdr:colOff>104775</xdr:colOff>
                    <xdr:row>15</xdr:row>
                    <xdr:rowOff>295275</xdr:rowOff>
                  </from>
                  <to>
                    <xdr:col>6</xdr:col>
                    <xdr:colOff>28575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8" name="Check Box 19">
              <controlPr defaultSize="0" print="0" autoFill="0" autoLine="0" autoPict="0">
                <anchor moveWithCells="1">
                  <from>
                    <xdr:col>19</xdr:col>
                    <xdr:colOff>114300</xdr:colOff>
                    <xdr:row>21</xdr:row>
                    <xdr:rowOff>238125</xdr:rowOff>
                  </from>
                  <to>
                    <xdr:col>20</xdr:col>
                    <xdr:colOff>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9" name="Check Box 32">
              <controlPr defaultSize="0" print="0" autoFill="0" autoLine="0" autoPict="0">
                <anchor moveWithCells="1">
                  <from>
                    <xdr:col>1</xdr:col>
                    <xdr:colOff>123825</xdr:colOff>
                    <xdr:row>20</xdr:row>
                    <xdr:rowOff>28575</xdr:rowOff>
                  </from>
                  <to>
                    <xdr:col>1</xdr:col>
                    <xdr:colOff>333375</xdr:colOff>
                    <xdr:row>20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0" name="Check Box 33">
              <controlPr defaultSize="0" print="0" autoFill="0" autoLine="0" autoPict="0">
                <anchor moveWithCells="1">
                  <from>
                    <xdr:col>3</xdr:col>
                    <xdr:colOff>85725</xdr:colOff>
                    <xdr:row>19</xdr:row>
                    <xdr:rowOff>276225</xdr:rowOff>
                  </from>
                  <to>
                    <xdr:col>3</xdr:col>
                    <xdr:colOff>314325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11" name="Check Box 34">
              <controlPr defaultSize="0" print="0" autoFill="0" autoLine="0" autoPict="0">
                <anchor moveWithCells="1">
                  <from>
                    <xdr:col>22</xdr:col>
                    <xdr:colOff>104775</xdr:colOff>
                    <xdr:row>24</xdr:row>
                    <xdr:rowOff>9525</xdr:rowOff>
                  </from>
                  <to>
                    <xdr:col>22</xdr:col>
                    <xdr:colOff>304800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12" name="Check Box 35">
              <controlPr defaultSize="0" print="0" autoFill="0" autoLine="0" autoPict="0">
                <anchor moveWithCells="1">
                  <from>
                    <xdr:col>22</xdr:col>
                    <xdr:colOff>104775</xdr:colOff>
                    <xdr:row>21</xdr:row>
                    <xdr:rowOff>9525</xdr:rowOff>
                  </from>
                  <to>
                    <xdr:col>22</xdr:col>
                    <xdr:colOff>304800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13" name="Check Box 36">
              <controlPr defaultSize="0" print="0" autoFill="0" autoLine="0" autoPict="0">
                <anchor moveWithCells="1">
                  <from>
                    <xdr:col>22</xdr:col>
                    <xdr:colOff>104775</xdr:colOff>
                    <xdr:row>21</xdr:row>
                    <xdr:rowOff>238125</xdr:rowOff>
                  </from>
                  <to>
                    <xdr:col>23</xdr:col>
                    <xdr:colOff>28575</xdr:colOff>
                    <xdr:row>23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C718D-F149-45AD-A444-70321D280ECC}">
  <sheetPr codeName="Sheet10">
    <tabColor theme="5" tint="-0.249977111117893"/>
    <pageSetUpPr fitToPage="1"/>
  </sheetPr>
  <dimension ref="A3:W69"/>
  <sheetViews>
    <sheetView showGridLines="0" topLeftCell="A40" zoomScale="130" zoomScaleNormal="130" workbookViewId="0">
      <selection activeCell="K44" sqref="K44:U44"/>
    </sheetView>
  </sheetViews>
  <sheetFormatPr defaultColWidth="8.85546875" defaultRowHeight="12.75" x14ac:dyDescent="0.2"/>
  <cols>
    <col min="1" max="1" width="4.85546875" style="24" customWidth="1"/>
    <col min="2" max="2" width="6.85546875" style="24" customWidth="1"/>
    <col min="3" max="7" width="5.7109375" style="24" customWidth="1"/>
    <col min="8" max="8" width="10.85546875" style="24" customWidth="1"/>
    <col min="9" max="9" width="5.7109375" style="24" customWidth="1"/>
    <col min="10" max="10" width="6.140625" style="24" customWidth="1"/>
    <col min="11" max="12" width="7.140625" style="24" customWidth="1"/>
    <col min="13" max="13" width="6.140625" style="24" customWidth="1"/>
    <col min="14" max="14" width="5.85546875" style="24" customWidth="1"/>
    <col min="15" max="17" width="5.7109375" style="24" customWidth="1"/>
    <col min="18" max="18" width="6.42578125" style="24" customWidth="1"/>
    <col min="19" max="19" width="5.7109375" style="24" customWidth="1"/>
    <col min="20" max="20" width="6.140625" style="24" customWidth="1"/>
    <col min="21" max="23" width="5.7109375" style="24" customWidth="1"/>
    <col min="24" max="24" width="5.85546875" style="24" customWidth="1"/>
    <col min="25" max="33" width="4.28515625" style="24" customWidth="1"/>
    <col min="34" max="16384" width="8.85546875" style="24"/>
  </cols>
  <sheetData>
    <row r="3" spans="2:21" ht="40.35" customHeight="1" x14ac:dyDescent="0.2">
      <c r="G3" s="25" t="s">
        <v>0</v>
      </c>
    </row>
    <row r="4" spans="2:21" ht="6.6" customHeight="1" x14ac:dyDescent="0.2">
      <c r="G4" s="25"/>
    </row>
    <row r="5" spans="2:21" ht="17.45" customHeight="1" x14ac:dyDescent="0.2">
      <c r="B5" s="217" t="s">
        <v>103</v>
      </c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217"/>
    </row>
    <row r="6" spans="2:21" ht="17.45" customHeight="1" x14ac:dyDescent="0.2">
      <c r="B6" s="217"/>
      <c r="C6" s="217"/>
      <c r="D6" s="217"/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  <c r="S6" s="217"/>
      <c r="T6" s="217"/>
      <c r="U6" s="217"/>
    </row>
    <row r="7" spans="2:21" ht="17.45" customHeight="1" x14ac:dyDescent="0.2">
      <c r="B7" s="218" t="s">
        <v>104</v>
      </c>
      <c r="C7" s="218"/>
      <c r="D7" s="218"/>
      <c r="E7" s="218"/>
      <c r="F7" s="218"/>
      <c r="G7" s="218"/>
      <c r="H7" s="218"/>
      <c r="I7" s="219" t="s">
        <v>105</v>
      </c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19"/>
      <c r="U7" s="219"/>
    </row>
    <row r="8" spans="2:21" ht="17.45" customHeight="1" x14ac:dyDescent="0.2">
      <c r="B8" s="249" t="s">
        <v>428</v>
      </c>
      <c r="C8" s="249"/>
      <c r="D8" s="249"/>
      <c r="E8" s="249"/>
      <c r="F8" s="249"/>
      <c r="G8" s="249"/>
      <c r="H8" s="249"/>
      <c r="I8" s="244"/>
      <c r="J8" s="245"/>
      <c r="K8" s="246" t="s">
        <v>107</v>
      </c>
      <c r="L8" s="246"/>
      <c r="M8" s="246"/>
      <c r="N8" s="246"/>
      <c r="O8" s="246"/>
      <c r="P8" s="246"/>
      <c r="Q8" s="246"/>
      <c r="R8" s="246"/>
      <c r="S8" s="246"/>
      <c r="T8" s="246"/>
      <c r="U8" s="247"/>
    </row>
    <row r="9" spans="2:21" ht="17.45" customHeight="1" x14ac:dyDescent="0.2">
      <c r="B9" s="249"/>
      <c r="C9" s="249"/>
      <c r="D9" s="249"/>
      <c r="E9" s="249"/>
      <c r="F9" s="249"/>
      <c r="G9" s="249"/>
      <c r="H9" s="249"/>
      <c r="I9" s="244"/>
      <c r="J9" s="245"/>
      <c r="K9" s="246" t="s">
        <v>107</v>
      </c>
      <c r="L9" s="246"/>
      <c r="M9" s="246"/>
      <c r="N9" s="246"/>
      <c r="O9" s="246"/>
      <c r="P9" s="246"/>
      <c r="Q9" s="246"/>
      <c r="R9" s="246"/>
      <c r="S9" s="246"/>
      <c r="T9" s="246"/>
      <c r="U9" s="247"/>
    </row>
    <row r="10" spans="2:21" ht="17.45" customHeight="1" x14ac:dyDescent="0.2">
      <c r="G10" s="25"/>
    </row>
    <row r="11" spans="2:21" ht="17.45" customHeight="1" x14ac:dyDescent="0.2">
      <c r="B11" s="217" t="s">
        <v>117</v>
      </c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</row>
    <row r="12" spans="2:21" ht="17.45" customHeight="1" x14ac:dyDescent="0.2"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</row>
    <row r="13" spans="2:21" ht="17.45" customHeight="1" x14ac:dyDescent="0.2">
      <c r="B13" s="218" t="s">
        <v>104</v>
      </c>
      <c r="C13" s="218"/>
      <c r="D13" s="218"/>
      <c r="E13" s="218"/>
      <c r="F13" s="218"/>
      <c r="G13" s="218"/>
      <c r="H13" s="218"/>
      <c r="I13" s="219" t="s">
        <v>105</v>
      </c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</row>
    <row r="14" spans="2:21" ht="17.45" customHeight="1" x14ac:dyDescent="0.2">
      <c r="B14" s="237" t="s">
        <v>118</v>
      </c>
      <c r="C14" s="237"/>
      <c r="D14" s="237"/>
      <c r="E14" s="237"/>
      <c r="F14" s="237"/>
      <c r="G14" s="237"/>
      <c r="H14" s="237"/>
      <c r="I14" s="244">
        <v>0</v>
      </c>
      <c r="J14" s="245"/>
      <c r="K14" s="246" t="s">
        <v>107</v>
      </c>
      <c r="L14" s="246"/>
      <c r="M14" s="246"/>
      <c r="N14" s="246"/>
      <c r="O14" s="246"/>
      <c r="P14" s="246"/>
      <c r="Q14" s="246"/>
      <c r="R14" s="246"/>
      <c r="S14" s="246"/>
      <c r="T14" s="246"/>
      <c r="U14" s="247"/>
    </row>
    <row r="15" spans="2:21" ht="17.45" customHeight="1" x14ac:dyDescent="0.2">
      <c r="B15" s="237" t="s">
        <v>119</v>
      </c>
      <c r="C15" s="237"/>
      <c r="D15" s="237"/>
      <c r="E15" s="237"/>
      <c r="F15" s="237"/>
      <c r="G15" s="237"/>
      <c r="H15" s="237"/>
      <c r="I15" s="244">
        <v>0</v>
      </c>
      <c r="J15" s="245"/>
      <c r="K15" s="246" t="s">
        <v>107</v>
      </c>
      <c r="L15" s="246"/>
      <c r="M15" s="246"/>
      <c r="N15" s="246"/>
      <c r="O15" s="246"/>
      <c r="P15" s="246"/>
      <c r="Q15" s="246"/>
      <c r="R15" s="246"/>
      <c r="S15" s="246"/>
      <c r="T15" s="246"/>
      <c r="U15" s="247"/>
    </row>
    <row r="16" spans="2:21" ht="17.45" customHeight="1" x14ac:dyDescent="0.2">
      <c r="B16" s="237" t="s">
        <v>120</v>
      </c>
      <c r="C16" s="237"/>
      <c r="D16" s="237"/>
      <c r="E16" s="237"/>
      <c r="F16" s="237"/>
      <c r="G16" s="237"/>
      <c r="H16" s="237"/>
      <c r="I16" s="244">
        <v>0</v>
      </c>
      <c r="J16" s="245"/>
      <c r="K16" s="246" t="s">
        <v>107</v>
      </c>
      <c r="L16" s="246"/>
      <c r="M16" s="246"/>
      <c r="N16" s="246"/>
      <c r="O16" s="246"/>
      <c r="P16" s="246"/>
      <c r="Q16" s="246"/>
      <c r="R16" s="246"/>
      <c r="S16" s="246"/>
      <c r="T16" s="246"/>
      <c r="U16" s="247"/>
    </row>
    <row r="17" spans="2:21" ht="17.45" customHeight="1" x14ac:dyDescent="0.2">
      <c r="B17" s="237" t="s">
        <v>121</v>
      </c>
      <c r="C17" s="237"/>
      <c r="D17" s="237"/>
      <c r="E17" s="237"/>
      <c r="F17" s="237"/>
      <c r="G17" s="237"/>
      <c r="H17" s="237"/>
      <c r="I17" s="244">
        <v>0</v>
      </c>
      <c r="J17" s="245"/>
      <c r="K17" s="246" t="s">
        <v>107</v>
      </c>
      <c r="L17" s="246"/>
      <c r="M17" s="246"/>
      <c r="N17" s="246"/>
      <c r="O17" s="246"/>
      <c r="P17" s="246"/>
      <c r="Q17" s="246"/>
      <c r="R17" s="246"/>
      <c r="S17" s="246"/>
      <c r="T17" s="246"/>
      <c r="U17" s="247"/>
    </row>
    <row r="18" spans="2:21" ht="17.45" customHeight="1" x14ac:dyDescent="0.2">
      <c r="B18" s="237" t="s">
        <v>122</v>
      </c>
      <c r="C18" s="237"/>
      <c r="D18" s="237"/>
      <c r="E18" s="237"/>
      <c r="F18" s="237"/>
      <c r="G18" s="237"/>
      <c r="H18" s="237"/>
      <c r="I18" s="244">
        <v>0</v>
      </c>
      <c r="J18" s="245"/>
      <c r="K18" s="246" t="s">
        <v>107</v>
      </c>
      <c r="L18" s="246"/>
      <c r="M18" s="246"/>
      <c r="N18" s="246"/>
      <c r="O18" s="246"/>
      <c r="P18" s="246"/>
      <c r="Q18" s="246"/>
      <c r="R18" s="246"/>
      <c r="S18" s="246"/>
      <c r="T18" s="246"/>
      <c r="U18" s="247"/>
    </row>
    <row r="19" spans="2:21" ht="17.45" customHeight="1" x14ac:dyDescent="0.2">
      <c r="B19" s="218" t="s">
        <v>112</v>
      </c>
      <c r="C19" s="218"/>
      <c r="D19" s="218"/>
      <c r="E19" s="218"/>
      <c r="F19" s="218"/>
      <c r="G19" s="218"/>
      <c r="H19" s="218"/>
      <c r="I19" s="219" t="s">
        <v>105</v>
      </c>
      <c r="J19" s="219"/>
      <c r="K19" s="219"/>
      <c r="L19" s="219"/>
      <c r="M19" s="219"/>
      <c r="N19" s="219"/>
      <c r="O19" s="219"/>
      <c r="P19" s="219"/>
      <c r="Q19" s="219"/>
      <c r="R19" s="219"/>
      <c r="S19" s="219"/>
      <c r="T19" s="219"/>
      <c r="U19" s="219"/>
    </row>
    <row r="20" spans="2:21" ht="17.45" customHeight="1" x14ac:dyDescent="0.2">
      <c r="B20" s="237" t="s">
        <v>113</v>
      </c>
      <c r="C20" s="237"/>
      <c r="D20" s="237"/>
      <c r="E20" s="237"/>
      <c r="F20" s="237"/>
      <c r="G20" s="237"/>
      <c r="H20" s="237"/>
      <c r="I20" s="244">
        <v>0</v>
      </c>
      <c r="J20" s="245"/>
      <c r="K20" s="246" t="s">
        <v>107</v>
      </c>
      <c r="L20" s="246"/>
      <c r="M20" s="246"/>
      <c r="N20" s="246"/>
      <c r="O20" s="246"/>
      <c r="P20" s="246"/>
      <c r="Q20" s="246"/>
      <c r="R20" s="246"/>
      <c r="S20" s="246"/>
      <c r="T20" s="246"/>
      <c r="U20" s="247"/>
    </row>
    <row r="21" spans="2:21" ht="17.45" customHeight="1" x14ac:dyDescent="0.2">
      <c r="B21" s="237" t="s">
        <v>114</v>
      </c>
      <c r="C21" s="237"/>
      <c r="D21" s="237"/>
      <c r="E21" s="237"/>
      <c r="F21" s="237"/>
      <c r="G21" s="237"/>
      <c r="H21" s="237"/>
      <c r="I21" s="244">
        <v>0</v>
      </c>
      <c r="J21" s="245"/>
      <c r="K21" s="246" t="s">
        <v>107</v>
      </c>
      <c r="L21" s="246"/>
      <c r="M21" s="246"/>
      <c r="N21" s="246"/>
      <c r="O21" s="246"/>
      <c r="P21" s="246"/>
      <c r="Q21" s="246"/>
      <c r="R21" s="246"/>
      <c r="S21" s="246"/>
      <c r="T21" s="246"/>
      <c r="U21" s="247"/>
    </row>
    <row r="22" spans="2:21" ht="17.45" customHeight="1" x14ac:dyDescent="0.2">
      <c r="B22" s="218" t="s">
        <v>115</v>
      </c>
      <c r="C22" s="218"/>
      <c r="D22" s="218"/>
      <c r="E22" s="218"/>
      <c r="F22" s="218"/>
      <c r="G22" s="218"/>
      <c r="H22" s="218"/>
      <c r="I22" s="219" t="s">
        <v>105</v>
      </c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</row>
    <row r="23" spans="2:21" ht="17.45" customHeight="1" x14ac:dyDescent="0.2">
      <c r="B23" s="249"/>
      <c r="C23" s="249"/>
      <c r="D23" s="249"/>
      <c r="E23" s="249"/>
      <c r="F23" s="249"/>
      <c r="G23" s="249"/>
      <c r="H23" s="249"/>
      <c r="I23" s="244"/>
      <c r="J23" s="245"/>
      <c r="K23" s="246" t="s">
        <v>107</v>
      </c>
      <c r="L23" s="246"/>
      <c r="M23" s="246"/>
      <c r="N23" s="246"/>
      <c r="O23" s="246"/>
      <c r="P23" s="246"/>
      <c r="Q23" s="246"/>
      <c r="R23" s="246"/>
      <c r="S23" s="246"/>
      <c r="T23" s="246"/>
      <c r="U23" s="247"/>
    </row>
    <row r="24" spans="2:21" ht="17.45" customHeight="1" x14ac:dyDescent="0.2">
      <c r="B24" s="249"/>
      <c r="C24" s="249"/>
      <c r="D24" s="249"/>
      <c r="E24" s="249"/>
      <c r="F24" s="249"/>
      <c r="G24" s="249"/>
      <c r="H24" s="249"/>
      <c r="I24" s="244"/>
      <c r="J24" s="245"/>
      <c r="K24" s="246" t="s">
        <v>107</v>
      </c>
      <c r="L24" s="246"/>
      <c r="M24" s="246"/>
      <c r="N24" s="246"/>
      <c r="O24" s="246"/>
      <c r="P24" s="246"/>
      <c r="Q24" s="246"/>
      <c r="R24" s="246"/>
      <c r="S24" s="246"/>
      <c r="T24" s="246"/>
      <c r="U24" s="247"/>
    </row>
    <row r="25" spans="2:21" ht="17.45" customHeight="1" x14ac:dyDescent="0.2">
      <c r="G25" s="25"/>
    </row>
    <row r="26" spans="2:21" ht="17.45" customHeight="1" x14ac:dyDescent="0.2">
      <c r="B26" s="217" t="s">
        <v>123</v>
      </c>
      <c r="C26" s="217"/>
      <c r="D26" s="217"/>
      <c r="E26" s="217"/>
      <c r="F26" s="217"/>
      <c r="G26" s="217"/>
      <c r="H26" s="217"/>
      <c r="I26" s="217"/>
      <c r="J26" s="217"/>
      <c r="K26" s="217"/>
      <c r="L26" s="217"/>
      <c r="M26" s="217"/>
      <c r="N26" s="217"/>
      <c r="O26" s="217"/>
      <c r="P26" s="217"/>
      <c r="Q26" s="217"/>
      <c r="R26" s="217"/>
      <c r="S26" s="217"/>
      <c r="T26" s="217"/>
      <c r="U26" s="217"/>
    </row>
    <row r="27" spans="2:21" ht="17.45" customHeight="1" x14ac:dyDescent="0.2">
      <c r="B27" s="217"/>
      <c r="C27" s="217"/>
      <c r="D27" s="217"/>
      <c r="E27" s="217"/>
      <c r="F27" s="217"/>
      <c r="G27" s="217"/>
      <c r="H27" s="217"/>
      <c r="I27" s="217"/>
      <c r="J27" s="217"/>
      <c r="K27" s="217"/>
      <c r="L27" s="217"/>
      <c r="M27" s="217"/>
      <c r="N27" s="217"/>
      <c r="O27" s="217"/>
      <c r="P27" s="217"/>
      <c r="Q27" s="217"/>
      <c r="R27" s="217"/>
      <c r="S27" s="217"/>
      <c r="T27" s="217"/>
      <c r="U27" s="217"/>
    </row>
    <row r="28" spans="2:21" ht="17.45" customHeight="1" x14ac:dyDescent="0.2">
      <c r="B28" s="218" t="s">
        <v>124</v>
      </c>
      <c r="C28" s="218"/>
      <c r="D28" s="218"/>
      <c r="E28" s="218"/>
      <c r="F28" s="218"/>
      <c r="G28" s="218"/>
      <c r="H28" s="218"/>
      <c r="I28" s="219" t="s">
        <v>105</v>
      </c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</row>
    <row r="29" spans="2:21" ht="17.45" customHeight="1" x14ac:dyDescent="0.2">
      <c r="B29" s="237" t="s">
        <v>125</v>
      </c>
      <c r="C29" s="237"/>
      <c r="D29" s="237"/>
      <c r="E29" s="237"/>
      <c r="F29" s="237"/>
      <c r="G29" s="237"/>
      <c r="H29" s="237"/>
      <c r="I29" s="244" t="s">
        <v>428</v>
      </c>
      <c r="J29" s="245"/>
      <c r="K29" s="246" t="s">
        <v>107</v>
      </c>
      <c r="L29" s="246"/>
      <c r="M29" s="246"/>
      <c r="N29" s="246"/>
      <c r="O29" s="246"/>
      <c r="P29" s="246"/>
      <c r="Q29" s="246"/>
      <c r="R29" s="246"/>
      <c r="S29" s="246"/>
      <c r="T29" s="246"/>
      <c r="U29" s="247"/>
    </row>
    <row r="30" spans="2:21" ht="17.45" customHeight="1" x14ac:dyDescent="0.2">
      <c r="B30" s="237" t="s">
        <v>120</v>
      </c>
      <c r="C30" s="237"/>
      <c r="D30" s="237"/>
      <c r="E30" s="237"/>
      <c r="F30" s="237"/>
      <c r="G30" s="237"/>
      <c r="H30" s="237"/>
      <c r="I30" s="244">
        <v>20</v>
      </c>
      <c r="J30" s="245"/>
      <c r="K30" s="246" t="s">
        <v>107</v>
      </c>
      <c r="L30" s="246"/>
      <c r="M30" s="246"/>
      <c r="N30" s="246"/>
      <c r="O30" s="246"/>
      <c r="P30" s="246"/>
      <c r="Q30" s="246"/>
      <c r="R30" s="246"/>
      <c r="S30" s="246"/>
      <c r="T30" s="246"/>
      <c r="U30" s="247"/>
    </row>
    <row r="31" spans="2:21" ht="17.45" customHeight="1" x14ac:dyDescent="0.2">
      <c r="B31" s="237" t="s">
        <v>121</v>
      </c>
      <c r="C31" s="237"/>
      <c r="D31" s="237"/>
      <c r="E31" s="237"/>
      <c r="F31" s="237"/>
      <c r="G31" s="237"/>
      <c r="H31" s="237"/>
      <c r="I31" s="244">
        <v>13</v>
      </c>
      <c r="J31" s="245"/>
      <c r="K31" s="246" t="s">
        <v>107</v>
      </c>
      <c r="L31" s="246"/>
      <c r="M31" s="246"/>
      <c r="N31" s="246"/>
      <c r="O31" s="246"/>
      <c r="P31" s="246"/>
      <c r="Q31" s="246"/>
      <c r="R31" s="246"/>
      <c r="S31" s="246"/>
      <c r="T31" s="246"/>
      <c r="U31" s="247"/>
    </row>
    <row r="32" spans="2:21" ht="17.45" customHeight="1" x14ac:dyDescent="0.2">
      <c r="B32" s="237" t="s">
        <v>122</v>
      </c>
      <c r="C32" s="237"/>
      <c r="D32" s="237"/>
      <c r="E32" s="237"/>
      <c r="F32" s="237"/>
      <c r="G32" s="237"/>
      <c r="H32" s="237"/>
      <c r="I32" s="244">
        <v>3</v>
      </c>
      <c r="J32" s="245"/>
      <c r="K32" s="246" t="s">
        <v>107</v>
      </c>
      <c r="L32" s="246"/>
      <c r="M32" s="246"/>
      <c r="N32" s="246"/>
      <c r="O32" s="246"/>
      <c r="P32" s="246"/>
      <c r="Q32" s="246"/>
      <c r="R32" s="246"/>
      <c r="S32" s="246"/>
      <c r="T32" s="246"/>
      <c r="U32" s="247"/>
    </row>
    <row r="33" spans="2:23" ht="17.45" customHeight="1" x14ac:dyDescent="0.2">
      <c r="B33" s="218" t="s">
        <v>112</v>
      </c>
      <c r="C33" s="218"/>
      <c r="D33" s="218"/>
      <c r="E33" s="218"/>
      <c r="F33" s="218"/>
      <c r="G33" s="218"/>
      <c r="H33" s="218"/>
      <c r="I33" s="219" t="s">
        <v>105</v>
      </c>
      <c r="J33" s="219"/>
      <c r="K33" s="219"/>
      <c r="L33" s="219"/>
      <c r="M33" s="219"/>
      <c r="N33" s="219"/>
      <c r="O33" s="219"/>
      <c r="P33" s="219"/>
      <c r="Q33" s="219"/>
      <c r="R33" s="219"/>
      <c r="S33" s="219"/>
      <c r="T33" s="219"/>
      <c r="U33" s="219"/>
    </row>
    <row r="34" spans="2:23" ht="17.45" customHeight="1" x14ac:dyDescent="0.2">
      <c r="B34" s="237" t="s">
        <v>113</v>
      </c>
      <c r="C34" s="237"/>
      <c r="D34" s="237"/>
      <c r="E34" s="237"/>
      <c r="F34" s="237"/>
      <c r="G34" s="237"/>
      <c r="H34" s="237"/>
      <c r="I34" s="244">
        <v>4</v>
      </c>
      <c r="J34" s="245"/>
      <c r="K34" s="246" t="s">
        <v>107</v>
      </c>
      <c r="L34" s="246"/>
      <c r="M34" s="246"/>
      <c r="N34" s="246"/>
      <c r="O34" s="246"/>
      <c r="P34" s="246"/>
      <c r="Q34" s="246"/>
      <c r="R34" s="246"/>
      <c r="S34" s="246"/>
      <c r="T34" s="246"/>
      <c r="U34" s="247"/>
    </row>
    <row r="35" spans="2:23" ht="17.45" customHeight="1" x14ac:dyDescent="0.2">
      <c r="B35" s="237" t="s">
        <v>114</v>
      </c>
      <c r="C35" s="237"/>
      <c r="D35" s="237"/>
      <c r="E35" s="237"/>
      <c r="F35" s="237"/>
      <c r="G35" s="237"/>
      <c r="H35" s="237"/>
      <c r="I35" s="244" t="s">
        <v>428</v>
      </c>
      <c r="J35" s="245"/>
      <c r="K35" s="246" t="s">
        <v>107</v>
      </c>
      <c r="L35" s="246"/>
      <c r="M35" s="246"/>
      <c r="N35" s="246"/>
      <c r="O35" s="246"/>
      <c r="P35" s="246"/>
      <c r="Q35" s="246"/>
      <c r="R35" s="246"/>
      <c r="S35" s="246"/>
      <c r="T35" s="246"/>
      <c r="U35" s="247"/>
    </row>
    <row r="36" spans="2:23" ht="17.45" customHeight="1" x14ac:dyDescent="0.2">
      <c r="B36" s="218" t="s">
        <v>115</v>
      </c>
      <c r="C36" s="218"/>
      <c r="D36" s="218"/>
      <c r="E36" s="218"/>
      <c r="F36" s="218"/>
      <c r="G36" s="218"/>
      <c r="H36" s="218"/>
      <c r="I36" s="219" t="s">
        <v>105</v>
      </c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</row>
    <row r="37" spans="2:23" ht="17.45" customHeight="1" x14ac:dyDescent="0.2">
      <c r="B37" s="249"/>
      <c r="C37" s="249"/>
      <c r="D37" s="249"/>
      <c r="E37" s="249"/>
      <c r="F37" s="249"/>
      <c r="G37" s="249"/>
      <c r="H37" s="249"/>
      <c r="I37" s="244">
        <v>0</v>
      </c>
      <c r="J37" s="245"/>
      <c r="K37" s="246" t="s">
        <v>107</v>
      </c>
      <c r="L37" s="246"/>
      <c r="M37" s="246"/>
      <c r="N37" s="246"/>
      <c r="O37" s="246"/>
      <c r="P37" s="246"/>
      <c r="Q37" s="246"/>
      <c r="R37" s="246"/>
      <c r="S37" s="246"/>
      <c r="T37" s="246"/>
      <c r="U37" s="247"/>
    </row>
    <row r="38" spans="2:23" ht="17.45" customHeight="1" x14ac:dyDescent="0.2">
      <c r="B38" s="249"/>
      <c r="C38" s="249"/>
      <c r="D38" s="249"/>
      <c r="E38" s="249"/>
      <c r="F38" s="249"/>
      <c r="G38" s="249"/>
      <c r="H38" s="249"/>
      <c r="I38" s="244">
        <v>0</v>
      </c>
      <c r="J38" s="245"/>
      <c r="K38" s="246" t="s">
        <v>107</v>
      </c>
      <c r="L38" s="246"/>
      <c r="M38" s="246"/>
      <c r="N38" s="246"/>
      <c r="O38" s="246"/>
      <c r="P38" s="246"/>
      <c r="Q38" s="246"/>
      <c r="R38" s="246"/>
      <c r="S38" s="246"/>
      <c r="T38" s="246"/>
      <c r="U38" s="247"/>
    </row>
    <row r="39" spans="2:23" ht="17.45" customHeight="1" x14ac:dyDescent="0.25"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</row>
    <row r="40" spans="2:23" ht="17.45" customHeight="1" x14ac:dyDescent="0.2">
      <c r="B40" s="217" t="s">
        <v>126</v>
      </c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7"/>
      <c r="P40" s="217"/>
      <c r="Q40" s="217"/>
      <c r="R40" s="217"/>
      <c r="S40" s="217"/>
      <c r="T40" s="217"/>
      <c r="U40" s="217"/>
    </row>
    <row r="41" spans="2:23" ht="17.45" customHeight="1" x14ac:dyDescent="0.2">
      <c r="B41" s="217"/>
      <c r="C41" s="217"/>
      <c r="D41" s="217"/>
      <c r="E41" s="217"/>
      <c r="F41" s="217"/>
      <c r="G41" s="217"/>
      <c r="H41" s="217"/>
      <c r="I41" s="217"/>
      <c r="J41" s="217"/>
      <c r="K41" s="217"/>
      <c r="L41" s="217"/>
      <c r="M41" s="217"/>
      <c r="N41" s="217"/>
      <c r="O41" s="217"/>
      <c r="P41" s="217"/>
      <c r="Q41" s="217"/>
      <c r="R41" s="217"/>
      <c r="S41" s="217"/>
      <c r="T41" s="217"/>
      <c r="U41" s="217"/>
    </row>
    <row r="42" spans="2:23" ht="17.45" customHeight="1" x14ac:dyDescent="0.2">
      <c r="B42" s="218" t="s">
        <v>104</v>
      </c>
      <c r="C42" s="218"/>
      <c r="D42" s="218"/>
      <c r="E42" s="218"/>
      <c r="F42" s="218"/>
      <c r="G42" s="218"/>
      <c r="H42" s="218"/>
      <c r="I42" s="219" t="s">
        <v>105</v>
      </c>
      <c r="J42" s="219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</row>
    <row r="43" spans="2:23" ht="17.45" customHeight="1" x14ac:dyDescent="0.2">
      <c r="B43" s="237" t="s">
        <v>127</v>
      </c>
      <c r="C43" s="237"/>
      <c r="D43" s="237"/>
      <c r="E43" s="237"/>
      <c r="F43" s="237"/>
      <c r="G43" s="237"/>
      <c r="H43" s="237"/>
      <c r="I43" s="244">
        <v>0</v>
      </c>
      <c r="J43" s="245"/>
      <c r="K43" s="246" t="s">
        <v>107</v>
      </c>
      <c r="L43" s="246"/>
      <c r="M43" s="246"/>
      <c r="N43" s="246"/>
      <c r="O43" s="246"/>
      <c r="P43" s="246"/>
      <c r="Q43" s="246"/>
      <c r="R43" s="246"/>
      <c r="S43" s="246"/>
      <c r="T43" s="246"/>
      <c r="U43" s="247"/>
    </row>
    <row r="44" spans="2:23" ht="17.45" customHeight="1" x14ac:dyDescent="0.2">
      <c r="B44" s="237" t="s">
        <v>122</v>
      </c>
      <c r="C44" s="237"/>
      <c r="D44" s="237"/>
      <c r="E44" s="237"/>
      <c r="F44" s="237"/>
      <c r="G44" s="237"/>
      <c r="H44" s="237"/>
      <c r="I44" s="244">
        <v>0</v>
      </c>
      <c r="J44" s="245"/>
      <c r="K44" s="246" t="s">
        <v>107</v>
      </c>
      <c r="L44" s="246"/>
      <c r="M44" s="246"/>
      <c r="N44" s="246"/>
      <c r="O44" s="246"/>
      <c r="P44" s="246"/>
      <c r="Q44" s="246"/>
      <c r="R44" s="246"/>
      <c r="S44" s="246"/>
      <c r="T44" s="246"/>
      <c r="U44" s="247"/>
    </row>
    <row r="45" spans="2:23" ht="17.45" customHeight="1" x14ac:dyDescent="0.2">
      <c r="B45" s="237" t="s">
        <v>128</v>
      </c>
      <c r="C45" s="237"/>
      <c r="D45" s="237"/>
      <c r="E45" s="237"/>
      <c r="F45" s="237"/>
      <c r="G45" s="237"/>
      <c r="H45" s="237"/>
      <c r="I45" s="244">
        <v>0</v>
      </c>
      <c r="J45" s="245"/>
      <c r="K45" s="246" t="s">
        <v>107</v>
      </c>
      <c r="L45" s="246"/>
      <c r="M45" s="246"/>
      <c r="N45" s="246"/>
      <c r="O45" s="246"/>
      <c r="P45" s="246"/>
      <c r="Q45" s="246"/>
      <c r="R45" s="246"/>
      <c r="S45" s="246"/>
      <c r="T45" s="246"/>
      <c r="U45" s="247"/>
    </row>
    <row r="46" spans="2:23" ht="17.45" customHeight="1" x14ac:dyDescent="0.2">
      <c r="B46" s="237" t="s">
        <v>129</v>
      </c>
      <c r="C46" s="237"/>
      <c r="D46" s="237"/>
      <c r="E46" s="237"/>
      <c r="F46" s="237"/>
      <c r="G46" s="237"/>
      <c r="H46" s="237"/>
      <c r="I46" s="244">
        <v>0</v>
      </c>
      <c r="J46" s="245"/>
      <c r="K46" s="246" t="s">
        <v>107</v>
      </c>
      <c r="L46" s="246"/>
      <c r="M46" s="246"/>
      <c r="N46" s="246"/>
      <c r="O46" s="246"/>
      <c r="P46" s="246"/>
      <c r="Q46" s="246"/>
      <c r="R46" s="246"/>
      <c r="S46" s="246"/>
      <c r="T46" s="246"/>
      <c r="U46" s="247"/>
    </row>
    <row r="47" spans="2:23" ht="17.45" customHeight="1" x14ac:dyDescent="0.2">
      <c r="B47" s="218" t="s">
        <v>112</v>
      </c>
      <c r="C47" s="218"/>
      <c r="D47" s="218"/>
      <c r="E47" s="218"/>
      <c r="F47" s="218"/>
      <c r="G47" s="218"/>
      <c r="H47" s="218"/>
      <c r="I47" s="219" t="s">
        <v>105</v>
      </c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</row>
    <row r="48" spans="2:23" ht="17.45" customHeight="1" x14ac:dyDescent="0.2">
      <c r="B48" s="237" t="s">
        <v>130</v>
      </c>
      <c r="C48" s="237"/>
      <c r="D48" s="237"/>
      <c r="E48" s="237"/>
      <c r="F48" s="237"/>
      <c r="G48" s="237"/>
      <c r="H48" s="237"/>
      <c r="I48" s="244">
        <v>0</v>
      </c>
      <c r="J48" s="245"/>
      <c r="K48" s="246" t="s">
        <v>107</v>
      </c>
      <c r="L48" s="246"/>
      <c r="M48" s="246"/>
      <c r="N48" s="246"/>
      <c r="O48" s="246"/>
      <c r="P48" s="246"/>
      <c r="Q48" s="246"/>
      <c r="R48" s="246"/>
      <c r="S48" s="246"/>
      <c r="T48" s="246"/>
      <c r="U48" s="247"/>
    </row>
    <row r="49" spans="2:21" ht="17.45" customHeight="1" x14ac:dyDescent="0.2">
      <c r="B49" s="249"/>
      <c r="C49" s="249"/>
      <c r="D49" s="249"/>
      <c r="E49" s="249"/>
      <c r="F49" s="249"/>
      <c r="G49" s="249"/>
      <c r="H49" s="249"/>
      <c r="I49" s="244"/>
      <c r="J49" s="245"/>
      <c r="K49" s="246" t="s">
        <v>107</v>
      </c>
      <c r="L49" s="246"/>
      <c r="M49" s="246"/>
      <c r="N49" s="246"/>
      <c r="O49" s="246"/>
      <c r="P49" s="246"/>
      <c r="Q49" s="246"/>
      <c r="R49" s="246"/>
      <c r="S49" s="246"/>
      <c r="T49" s="246"/>
      <c r="U49" s="247"/>
    </row>
    <row r="50" spans="2:21" ht="17.45" customHeight="1" x14ac:dyDescent="0.2">
      <c r="B50" s="218" t="s">
        <v>115</v>
      </c>
      <c r="C50" s="218"/>
      <c r="D50" s="218"/>
      <c r="E50" s="218"/>
      <c r="F50" s="218"/>
      <c r="G50" s="218"/>
      <c r="H50" s="218"/>
      <c r="I50" s="219" t="s">
        <v>105</v>
      </c>
      <c r="J50" s="219"/>
      <c r="K50" s="219"/>
      <c r="L50" s="219"/>
      <c r="M50" s="219"/>
      <c r="N50" s="219"/>
      <c r="O50" s="219"/>
      <c r="P50" s="219"/>
      <c r="Q50" s="219"/>
      <c r="R50" s="219"/>
      <c r="S50" s="219"/>
      <c r="T50" s="219"/>
      <c r="U50" s="219"/>
    </row>
    <row r="51" spans="2:21" ht="17.45" customHeight="1" x14ac:dyDescent="0.2">
      <c r="B51" s="249"/>
      <c r="C51" s="249"/>
      <c r="D51" s="249"/>
      <c r="E51" s="249"/>
      <c r="F51" s="249"/>
      <c r="G51" s="249"/>
      <c r="H51" s="249"/>
      <c r="I51" s="244">
        <v>0</v>
      </c>
      <c r="J51" s="245"/>
      <c r="K51" s="246" t="s">
        <v>107</v>
      </c>
      <c r="L51" s="246"/>
      <c r="M51" s="246"/>
      <c r="N51" s="246"/>
      <c r="O51" s="246"/>
      <c r="P51" s="246"/>
      <c r="Q51" s="246"/>
      <c r="R51" s="246"/>
      <c r="S51" s="246"/>
      <c r="T51" s="246"/>
      <c r="U51" s="247"/>
    </row>
    <row r="52" spans="2:21" ht="17.45" customHeight="1" x14ac:dyDescent="0.2">
      <c r="B52" s="249"/>
      <c r="C52" s="249"/>
      <c r="D52" s="249"/>
      <c r="E52" s="249"/>
      <c r="F52" s="249"/>
      <c r="G52" s="249"/>
      <c r="H52" s="249"/>
      <c r="I52" s="244">
        <v>0</v>
      </c>
      <c r="J52" s="245"/>
      <c r="K52" s="246" t="s">
        <v>107</v>
      </c>
      <c r="L52" s="246"/>
      <c r="M52" s="246"/>
      <c r="N52" s="246"/>
      <c r="O52" s="246"/>
      <c r="P52" s="246"/>
      <c r="Q52" s="246"/>
      <c r="R52" s="246"/>
      <c r="S52" s="246"/>
      <c r="T52" s="246"/>
      <c r="U52" s="247"/>
    </row>
    <row r="53" spans="2:21" ht="17.45" customHeight="1" x14ac:dyDescent="0.2"/>
    <row r="54" spans="2:21" ht="17.45" customHeight="1" x14ac:dyDescent="0.2">
      <c r="B54" s="217" t="s">
        <v>131</v>
      </c>
      <c r="C54" s="217"/>
      <c r="D54" s="217"/>
      <c r="E54" s="217"/>
      <c r="F54" s="217"/>
      <c r="G54" s="217"/>
      <c r="H54" s="217"/>
      <c r="I54" s="217"/>
      <c r="J54" s="217"/>
      <c r="K54" s="217"/>
      <c r="L54" s="217"/>
      <c r="M54" s="217"/>
      <c r="N54" s="217"/>
      <c r="O54" s="217"/>
      <c r="P54" s="217"/>
      <c r="Q54" s="217"/>
      <c r="R54" s="217"/>
      <c r="S54" s="217"/>
      <c r="T54" s="217"/>
      <c r="U54" s="217"/>
    </row>
    <row r="55" spans="2:21" ht="17.45" customHeight="1" x14ac:dyDescent="0.2">
      <c r="B55" s="217"/>
      <c r="C55" s="217"/>
      <c r="D55" s="217"/>
      <c r="E55" s="217"/>
      <c r="F55" s="217"/>
      <c r="G55" s="217"/>
      <c r="H55" s="217"/>
      <c r="I55" s="217"/>
      <c r="J55" s="217"/>
      <c r="K55" s="217"/>
      <c r="L55" s="217"/>
      <c r="M55" s="217"/>
      <c r="N55" s="217"/>
      <c r="O55" s="217"/>
      <c r="P55" s="217"/>
      <c r="Q55" s="217"/>
      <c r="R55" s="217"/>
      <c r="S55" s="217"/>
      <c r="T55" s="217"/>
      <c r="U55" s="217"/>
    </row>
    <row r="56" spans="2:21" ht="17.45" customHeight="1" x14ac:dyDescent="0.2">
      <c r="B56" s="218" t="s">
        <v>124</v>
      </c>
      <c r="C56" s="218"/>
      <c r="D56" s="218"/>
      <c r="E56" s="218"/>
      <c r="F56" s="218"/>
      <c r="G56" s="218"/>
      <c r="H56" s="218"/>
      <c r="I56" s="219" t="s">
        <v>105</v>
      </c>
      <c r="J56" s="219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</row>
    <row r="57" spans="2:21" ht="17.45" customHeight="1" x14ac:dyDescent="0.2">
      <c r="B57" s="237" t="s">
        <v>132</v>
      </c>
      <c r="C57" s="237"/>
      <c r="D57" s="237"/>
      <c r="E57" s="237"/>
      <c r="F57" s="237"/>
      <c r="G57" s="237"/>
      <c r="H57" s="237"/>
      <c r="I57" s="244">
        <v>0</v>
      </c>
      <c r="J57" s="245"/>
      <c r="K57" s="246" t="s">
        <v>107</v>
      </c>
      <c r="L57" s="246"/>
      <c r="M57" s="246"/>
      <c r="N57" s="246"/>
      <c r="O57" s="246"/>
      <c r="P57" s="246"/>
      <c r="Q57" s="246"/>
      <c r="R57" s="246"/>
      <c r="S57" s="246"/>
      <c r="T57" s="246"/>
      <c r="U57" s="247"/>
    </row>
    <row r="58" spans="2:21" ht="17.45" customHeight="1" x14ac:dyDescent="0.2">
      <c r="B58" s="237" t="s">
        <v>133</v>
      </c>
      <c r="C58" s="237"/>
      <c r="D58" s="237"/>
      <c r="E58" s="237"/>
      <c r="F58" s="237"/>
      <c r="G58" s="237"/>
      <c r="H58" s="237"/>
      <c r="I58" s="244">
        <v>0</v>
      </c>
      <c r="J58" s="245"/>
      <c r="K58" s="246" t="s">
        <v>107</v>
      </c>
      <c r="L58" s="246"/>
      <c r="M58" s="246"/>
      <c r="N58" s="246"/>
      <c r="O58" s="246"/>
      <c r="P58" s="246"/>
      <c r="Q58" s="246"/>
      <c r="R58" s="246"/>
      <c r="S58" s="246"/>
      <c r="T58" s="246"/>
      <c r="U58" s="247"/>
    </row>
    <row r="59" spans="2:21" ht="17.45" customHeight="1" x14ac:dyDescent="0.2">
      <c r="B59" s="237" t="s">
        <v>134</v>
      </c>
      <c r="C59" s="237"/>
      <c r="D59" s="237"/>
      <c r="E59" s="237"/>
      <c r="F59" s="237"/>
      <c r="G59" s="237"/>
      <c r="H59" s="237"/>
      <c r="I59" s="244">
        <v>0</v>
      </c>
      <c r="J59" s="245"/>
      <c r="K59" s="246" t="s">
        <v>107</v>
      </c>
      <c r="L59" s="246"/>
      <c r="M59" s="246"/>
      <c r="N59" s="246"/>
      <c r="O59" s="246"/>
      <c r="P59" s="246"/>
      <c r="Q59" s="246"/>
      <c r="R59" s="246"/>
      <c r="S59" s="246"/>
      <c r="T59" s="246"/>
      <c r="U59" s="247"/>
    </row>
    <row r="60" spans="2:21" ht="17.45" customHeight="1" x14ac:dyDescent="0.2">
      <c r="B60" s="237" t="s">
        <v>135</v>
      </c>
      <c r="C60" s="237"/>
      <c r="D60" s="237"/>
      <c r="E60" s="237"/>
      <c r="F60" s="237"/>
      <c r="G60" s="237"/>
      <c r="H60" s="237"/>
      <c r="I60" s="244">
        <v>0</v>
      </c>
      <c r="J60" s="245"/>
      <c r="K60" s="246" t="s">
        <v>107</v>
      </c>
      <c r="L60" s="246"/>
      <c r="M60" s="246"/>
      <c r="N60" s="246"/>
      <c r="O60" s="246"/>
      <c r="P60" s="246"/>
      <c r="Q60" s="246"/>
      <c r="R60" s="246"/>
      <c r="S60" s="246"/>
      <c r="T60" s="246"/>
      <c r="U60" s="247"/>
    </row>
    <row r="61" spans="2:21" ht="17.45" customHeight="1" x14ac:dyDescent="0.2">
      <c r="B61" s="237" t="s">
        <v>136</v>
      </c>
      <c r="C61" s="237"/>
      <c r="D61" s="237"/>
      <c r="E61" s="237"/>
      <c r="F61" s="237"/>
      <c r="G61" s="237"/>
      <c r="H61" s="237"/>
      <c r="I61" s="244">
        <v>0</v>
      </c>
      <c r="J61" s="245"/>
      <c r="K61" s="246" t="s">
        <v>107</v>
      </c>
      <c r="L61" s="246"/>
      <c r="M61" s="246"/>
      <c r="N61" s="246"/>
      <c r="O61" s="246"/>
      <c r="P61" s="246"/>
      <c r="Q61" s="246"/>
      <c r="R61" s="246"/>
      <c r="S61" s="246"/>
      <c r="T61" s="246"/>
      <c r="U61" s="247"/>
    </row>
    <row r="62" spans="2:21" ht="17.45" customHeight="1" x14ac:dyDescent="0.2">
      <c r="B62" s="237" t="s">
        <v>137</v>
      </c>
      <c r="C62" s="237"/>
      <c r="D62" s="237"/>
      <c r="E62" s="237"/>
      <c r="F62" s="237"/>
      <c r="G62" s="237"/>
      <c r="H62" s="237"/>
      <c r="I62" s="244"/>
      <c r="J62" s="245"/>
      <c r="K62" s="246" t="s">
        <v>107</v>
      </c>
      <c r="L62" s="246"/>
      <c r="M62" s="246"/>
      <c r="N62" s="246"/>
      <c r="O62" s="246"/>
      <c r="P62" s="246"/>
      <c r="Q62" s="246"/>
      <c r="R62" s="246"/>
      <c r="S62" s="246"/>
      <c r="T62" s="246"/>
      <c r="U62" s="247"/>
    </row>
    <row r="63" spans="2:21" ht="17.45" customHeight="1" x14ac:dyDescent="0.2">
      <c r="B63" s="237" t="s">
        <v>137</v>
      </c>
      <c r="C63" s="237"/>
      <c r="D63" s="237"/>
      <c r="E63" s="237"/>
      <c r="F63" s="237"/>
      <c r="G63" s="237"/>
      <c r="H63" s="237"/>
      <c r="I63" s="244"/>
      <c r="J63" s="245"/>
      <c r="K63" s="246" t="s">
        <v>107</v>
      </c>
      <c r="L63" s="246"/>
      <c r="M63" s="246"/>
      <c r="N63" s="246"/>
      <c r="O63" s="246"/>
      <c r="P63" s="246"/>
      <c r="Q63" s="246"/>
      <c r="R63" s="246"/>
      <c r="S63" s="246"/>
      <c r="T63" s="246"/>
      <c r="U63" s="247"/>
    </row>
    <row r="64" spans="2:21" ht="17.45" customHeight="1" x14ac:dyDescent="0.2">
      <c r="B64" s="237" t="s">
        <v>137</v>
      </c>
      <c r="C64" s="237"/>
      <c r="D64" s="237"/>
      <c r="E64" s="237"/>
      <c r="F64" s="237"/>
      <c r="G64" s="237"/>
      <c r="H64" s="237"/>
      <c r="I64" s="244"/>
      <c r="J64" s="245"/>
      <c r="K64" s="246" t="s">
        <v>107</v>
      </c>
      <c r="L64" s="246"/>
      <c r="M64" s="246"/>
      <c r="N64" s="246"/>
      <c r="O64" s="246"/>
      <c r="P64" s="246"/>
      <c r="Q64" s="246"/>
      <c r="R64" s="246"/>
      <c r="S64" s="246"/>
      <c r="T64" s="246"/>
      <c r="U64" s="247"/>
    </row>
    <row r="65" spans="1:23" ht="17.45" customHeight="1" x14ac:dyDescent="0.2">
      <c r="B65" s="237" t="s">
        <v>137</v>
      </c>
      <c r="C65" s="237"/>
      <c r="D65" s="237"/>
      <c r="E65" s="237"/>
      <c r="F65" s="237"/>
      <c r="G65" s="237"/>
      <c r="H65" s="237"/>
      <c r="I65" s="244"/>
      <c r="J65" s="245"/>
      <c r="K65" s="246" t="s">
        <v>107</v>
      </c>
      <c r="L65" s="246"/>
      <c r="M65" s="246"/>
      <c r="N65" s="246"/>
      <c r="O65" s="246"/>
      <c r="P65" s="246"/>
      <c r="Q65" s="246"/>
      <c r="R65" s="246"/>
      <c r="S65" s="246"/>
      <c r="T65" s="246"/>
      <c r="U65" s="247"/>
    </row>
    <row r="66" spans="1:23" ht="17.45" customHeight="1" x14ac:dyDescent="0.2">
      <c r="B66" s="218" t="s">
        <v>112</v>
      </c>
      <c r="C66" s="218"/>
      <c r="D66" s="218"/>
      <c r="E66" s="218"/>
      <c r="F66" s="218"/>
      <c r="G66" s="218"/>
      <c r="H66" s="218"/>
      <c r="I66" s="219" t="s">
        <v>105</v>
      </c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19"/>
      <c r="U66" s="219"/>
    </row>
    <row r="68" spans="1:23" ht="18.75" x14ac:dyDescent="0.3">
      <c r="A68" s="26" t="s">
        <v>138</v>
      </c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O68" s="33"/>
      <c r="P68" s="33"/>
      <c r="Q68" s="33"/>
      <c r="R68" s="33"/>
      <c r="S68" s="33"/>
      <c r="T68" s="26"/>
      <c r="U68" s="26"/>
      <c r="V68" s="26"/>
      <c r="W68" s="34" t="s">
        <v>57</v>
      </c>
    </row>
    <row r="69" spans="1:23" ht="18.75" x14ac:dyDescent="0.3"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33"/>
      <c r="O69" s="33"/>
      <c r="P69" s="33"/>
      <c r="Q69" s="33"/>
      <c r="R69" s="33"/>
      <c r="T69" s="26"/>
      <c r="U69" s="26"/>
      <c r="V69" s="26"/>
      <c r="W69" s="35" t="s">
        <v>58</v>
      </c>
    </row>
  </sheetData>
  <sheetProtection algorithmName="SHA-512" hashValue="0rshZKyvn5p6TdifuIgdOxog+Q32bSBpj7RnuZJucwnC7PCaEFLX2DD0boV2qJ6eORJ6zffCCeQptIQKAl02HA==" saltValue="0jpSeU0v37ktLZabiJAlGw==" spinCount="100000" sheet="1"/>
  <mergeCells count="137">
    <mergeCell ref="B65:H65"/>
    <mergeCell ref="I65:J65"/>
    <mergeCell ref="K65:U65"/>
    <mergeCell ref="B66:H66"/>
    <mergeCell ref="I66:U66"/>
    <mergeCell ref="B63:H63"/>
    <mergeCell ref="I63:J63"/>
    <mergeCell ref="K63:U63"/>
    <mergeCell ref="B64:H64"/>
    <mergeCell ref="I64:J64"/>
    <mergeCell ref="K64:U64"/>
    <mergeCell ref="B61:H61"/>
    <mergeCell ref="I61:J61"/>
    <mergeCell ref="K61:U61"/>
    <mergeCell ref="B62:H62"/>
    <mergeCell ref="I62:J62"/>
    <mergeCell ref="K62:U62"/>
    <mergeCell ref="B59:H59"/>
    <mergeCell ref="I59:J59"/>
    <mergeCell ref="K59:U59"/>
    <mergeCell ref="B60:H60"/>
    <mergeCell ref="I60:J60"/>
    <mergeCell ref="K60:U60"/>
    <mergeCell ref="B57:H57"/>
    <mergeCell ref="I57:J57"/>
    <mergeCell ref="K57:U57"/>
    <mergeCell ref="B58:H58"/>
    <mergeCell ref="I58:J58"/>
    <mergeCell ref="K58:U58"/>
    <mergeCell ref="B52:H52"/>
    <mergeCell ref="I52:J52"/>
    <mergeCell ref="K52:U52"/>
    <mergeCell ref="B54:U55"/>
    <mergeCell ref="B56:H56"/>
    <mergeCell ref="I56:U56"/>
    <mergeCell ref="B49:H49"/>
    <mergeCell ref="I49:J49"/>
    <mergeCell ref="K49:U49"/>
    <mergeCell ref="B50:H50"/>
    <mergeCell ref="I50:U50"/>
    <mergeCell ref="B51:H51"/>
    <mergeCell ref="I51:J51"/>
    <mergeCell ref="K51:U51"/>
    <mergeCell ref="B46:H46"/>
    <mergeCell ref="I46:J46"/>
    <mergeCell ref="K46:U46"/>
    <mergeCell ref="B47:H47"/>
    <mergeCell ref="I47:U47"/>
    <mergeCell ref="B48:H48"/>
    <mergeCell ref="I48:J48"/>
    <mergeCell ref="K48:U48"/>
    <mergeCell ref="B44:H44"/>
    <mergeCell ref="I44:J44"/>
    <mergeCell ref="K44:U44"/>
    <mergeCell ref="B45:H45"/>
    <mergeCell ref="I45:J45"/>
    <mergeCell ref="K45:U45"/>
    <mergeCell ref="B40:U41"/>
    <mergeCell ref="B42:H42"/>
    <mergeCell ref="I42:U42"/>
    <mergeCell ref="B43:H43"/>
    <mergeCell ref="I43:J43"/>
    <mergeCell ref="K43:U43"/>
    <mergeCell ref="B36:H36"/>
    <mergeCell ref="I36:U36"/>
    <mergeCell ref="B37:H37"/>
    <mergeCell ref="I37:J37"/>
    <mergeCell ref="K37:U37"/>
    <mergeCell ref="B38:H38"/>
    <mergeCell ref="I38:J38"/>
    <mergeCell ref="K38:U38"/>
    <mergeCell ref="I33:U33"/>
    <mergeCell ref="B34:H34"/>
    <mergeCell ref="I34:J34"/>
    <mergeCell ref="K34:U34"/>
    <mergeCell ref="B35:H35"/>
    <mergeCell ref="I35:J35"/>
    <mergeCell ref="K35:U35"/>
    <mergeCell ref="B33:H33"/>
    <mergeCell ref="B23:H23"/>
    <mergeCell ref="I23:J23"/>
    <mergeCell ref="K23:U23"/>
    <mergeCell ref="B24:H24"/>
    <mergeCell ref="I24:J24"/>
    <mergeCell ref="K24:U24"/>
    <mergeCell ref="B32:H32"/>
    <mergeCell ref="I32:J32"/>
    <mergeCell ref="K32:U32"/>
    <mergeCell ref="B30:H30"/>
    <mergeCell ref="I30:J30"/>
    <mergeCell ref="K30:U30"/>
    <mergeCell ref="B31:H31"/>
    <mergeCell ref="I31:J31"/>
    <mergeCell ref="K31:U31"/>
    <mergeCell ref="B26:U27"/>
    <mergeCell ref="B28:H28"/>
    <mergeCell ref="I28:U28"/>
    <mergeCell ref="B29:H29"/>
    <mergeCell ref="I29:J29"/>
    <mergeCell ref="K29:U29"/>
    <mergeCell ref="B21:H21"/>
    <mergeCell ref="I21:J21"/>
    <mergeCell ref="K21:U21"/>
    <mergeCell ref="B22:H22"/>
    <mergeCell ref="B19:H19"/>
    <mergeCell ref="I19:U19"/>
    <mergeCell ref="B20:H20"/>
    <mergeCell ref="I20:J20"/>
    <mergeCell ref="K20:U20"/>
    <mergeCell ref="I22:U22"/>
    <mergeCell ref="B18:H18"/>
    <mergeCell ref="I18:J18"/>
    <mergeCell ref="K18:U18"/>
    <mergeCell ref="B16:H16"/>
    <mergeCell ref="I16:J16"/>
    <mergeCell ref="K16:U16"/>
    <mergeCell ref="B17:H17"/>
    <mergeCell ref="I17:J17"/>
    <mergeCell ref="K17:U17"/>
    <mergeCell ref="B15:H15"/>
    <mergeCell ref="I15:J15"/>
    <mergeCell ref="K15:U15"/>
    <mergeCell ref="B9:H9"/>
    <mergeCell ref="I9:J9"/>
    <mergeCell ref="K9:U9"/>
    <mergeCell ref="B11:U12"/>
    <mergeCell ref="B13:H13"/>
    <mergeCell ref="I13:U13"/>
    <mergeCell ref="B5:U6"/>
    <mergeCell ref="B7:H7"/>
    <mergeCell ref="I7:U7"/>
    <mergeCell ref="B8:H8"/>
    <mergeCell ref="I8:J8"/>
    <mergeCell ref="K8:U8"/>
    <mergeCell ref="B14:H14"/>
    <mergeCell ref="I14:J14"/>
    <mergeCell ref="K14:U14"/>
  </mergeCells>
  <conditionalFormatting sqref="I8:J8">
    <cfRule type="notContainsBlanks" dxfId="131" priority="33">
      <formula>LEN(TRIM(I8))&gt;0</formula>
    </cfRule>
  </conditionalFormatting>
  <conditionalFormatting sqref="I9:J9">
    <cfRule type="notContainsBlanks" dxfId="130" priority="32">
      <formula>LEN(TRIM(I9))&gt;0</formula>
    </cfRule>
  </conditionalFormatting>
  <conditionalFormatting sqref="I14:J14">
    <cfRule type="notContainsBlanks" dxfId="129" priority="31">
      <formula>LEN(TRIM(I14))&gt;0</formula>
    </cfRule>
  </conditionalFormatting>
  <conditionalFormatting sqref="I15:J15">
    <cfRule type="notContainsBlanks" dxfId="128" priority="30">
      <formula>LEN(TRIM(I15))&gt;0</formula>
    </cfRule>
  </conditionalFormatting>
  <conditionalFormatting sqref="I16:J18">
    <cfRule type="notContainsBlanks" dxfId="127" priority="29">
      <formula>LEN(TRIM(I16))&gt;0</formula>
    </cfRule>
  </conditionalFormatting>
  <conditionalFormatting sqref="I20:J20">
    <cfRule type="notContainsBlanks" dxfId="126" priority="28">
      <formula>LEN(TRIM(I20))&gt;0</formula>
    </cfRule>
  </conditionalFormatting>
  <conditionalFormatting sqref="I21:J21">
    <cfRule type="notContainsBlanks" dxfId="125" priority="27">
      <formula>LEN(TRIM(I21))&gt;0</formula>
    </cfRule>
  </conditionalFormatting>
  <conditionalFormatting sqref="I23:J23">
    <cfRule type="notContainsBlanks" dxfId="124" priority="26">
      <formula>LEN(TRIM(I23))&gt;0</formula>
    </cfRule>
  </conditionalFormatting>
  <conditionalFormatting sqref="I24:J24">
    <cfRule type="notContainsBlanks" dxfId="123" priority="25">
      <formula>LEN(TRIM(I24))&gt;0</formula>
    </cfRule>
  </conditionalFormatting>
  <conditionalFormatting sqref="I62:J62">
    <cfRule type="notContainsBlanks" dxfId="122" priority="3">
      <formula>LEN(TRIM(I62))&gt;0</formula>
    </cfRule>
  </conditionalFormatting>
  <conditionalFormatting sqref="I63:J64">
    <cfRule type="notContainsBlanks" dxfId="121" priority="2">
      <formula>LEN(TRIM(I63))&gt;0</formula>
    </cfRule>
  </conditionalFormatting>
  <conditionalFormatting sqref="I65:J65">
    <cfRule type="notContainsBlanks" dxfId="120" priority="1">
      <formula>LEN(TRIM(I65))&gt;0</formula>
    </cfRule>
  </conditionalFormatting>
  <conditionalFormatting sqref="I29:J29">
    <cfRule type="notContainsBlanks" dxfId="119" priority="21">
      <formula>LEN(TRIM(I29))&gt;0</formula>
    </cfRule>
  </conditionalFormatting>
  <conditionalFormatting sqref="I30:J30">
    <cfRule type="notContainsBlanks" dxfId="118" priority="20">
      <formula>LEN(TRIM(I30))&gt;0</formula>
    </cfRule>
  </conditionalFormatting>
  <conditionalFormatting sqref="I31:J32">
    <cfRule type="notContainsBlanks" dxfId="117" priority="19">
      <formula>LEN(TRIM(I31))&gt;0</formula>
    </cfRule>
  </conditionalFormatting>
  <conditionalFormatting sqref="I34:J34">
    <cfRule type="notContainsBlanks" dxfId="116" priority="18">
      <formula>LEN(TRIM(I34))&gt;0</formula>
    </cfRule>
  </conditionalFormatting>
  <conditionalFormatting sqref="I35:J35">
    <cfRule type="notContainsBlanks" dxfId="115" priority="17">
      <formula>LEN(TRIM(I35))&gt;0</formula>
    </cfRule>
  </conditionalFormatting>
  <conditionalFormatting sqref="I37:J37">
    <cfRule type="notContainsBlanks" dxfId="114" priority="16">
      <formula>LEN(TRIM(I37))&gt;0</formula>
    </cfRule>
  </conditionalFormatting>
  <conditionalFormatting sqref="I38:J38">
    <cfRule type="notContainsBlanks" dxfId="113" priority="15">
      <formula>LEN(TRIM(I38))&gt;0</formula>
    </cfRule>
  </conditionalFormatting>
  <conditionalFormatting sqref="I43:J43">
    <cfRule type="notContainsBlanks" dxfId="112" priority="14">
      <formula>LEN(TRIM(I43))&gt;0</formula>
    </cfRule>
  </conditionalFormatting>
  <conditionalFormatting sqref="I44:J44">
    <cfRule type="notContainsBlanks" dxfId="111" priority="13">
      <formula>LEN(TRIM(I44))&gt;0</formula>
    </cfRule>
  </conditionalFormatting>
  <conditionalFormatting sqref="I45:J46">
    <cfRule type="notContainsBlanks" dxfId="110" priority="12">
      <formula>LEN(TRIM(I45))&gt;0</formula>
    </cfRule>
  </conditionalFormatting>
  <conditionalFormatting sqref="I48:J48">
    <cfRule type="notContainsBlanks" dxfId="109" priority="11">
      <formula>LEN(TRIM(I48))&gt;0</formula>
    </cfRule>
  </conditionalFormatting>
  <conditionalFormatting sqref="I49:J49">
    <cfRule type="notContainsBlanks" dxfId="108" priority="10">
      <formula>LEN(TRIM(I49))&gt;0</formula>
    </cfRule>
  </conditionalFormatting>
  <conditionalFormatting sqref="I51:J51">
    <cfRule type="notContainsBlanks" dxfId="107" priority="9">
      <formula>LEN(TRIM(I51))&gt;0</formula>
    </cfRule>
  </conditionalFormatting>
  <conditionalFormatting sqref="I52:J52">
    <cfRule type="notContainsBlanks" dxfId="106" priority="8">
      <formula>LEN(TRIM(I52))&gt;0</formula>
    </cfRule>
  </conditionalFormatting>
  <conditionalFormatting sqref="I57:J57">
    <cfRule type="notContainsBlanks" dxfId="105" priority="7">
      <formula>LEN(TRIM(I57))&gt;0</formula>
    </cfRule>
  </conditionalFormatting>
  <conditionalFormatting sqref="I58:J58">
    <cfRule type="notContainsBlanks" dxfId="104" priority="6">
      <formula>LEN(TRIM(I58))&gt;0</formula>
    </cfRule>
  </conditionalFormatting>
  <conditionalFormatting sqref="I59:J60">
    <cfRule type="notContainsBlanks" dxfId="103" priority="5">
      <formula>LEN(TRIM(I59))&gt;0</formula>
    </cfRule>
  </conditionalFormatting>
  <conditionalFormatting sqref="I61:J61">
    <cfRule type="notContainsBlanks" dxfId="102" priority="4">
      <formula>LEN(TRIM(I61))&gt;0</formula>
    </cfRule>
  </conditionalFormatting>
  <pageMargins left="0.7" right="0.45" top="0.25" bottom="0.25" header="0.3" footer="0.3"/>
  <pageSetup scale="6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E14F0-4E5B-4959-BF30-11F510AE980C}">
  <sheetPr codeName="Sheet3">
    <tabColor theme="5" tint="-0.249977111117893"/>
    <pageSetUpPr fitToPage="1"/>
  </sheetPr>
  <dimension ref="A3:X70"/>
  <sheetViews>
    <sheetView showGridLines="0" topLeftCell="A57" zoomScale="130" zoomScaleNormal="130" workbookViewId="0">
      <selection activeCell="K43" sqref="K43:L43"/>
    </sheetView>
  </sheetViews>
  <sheetFormatPr defaultColWidth="8.85546875" defaultRowHeight="12.75" x14ac:dyDescent="0.2"/>
  <cols>
    <col min="1" max="1" width="4.85546875" style="24" customWidth="1"/>
    <col min="2" max="2" width="6.85546875" style="24" customWidth="1"/>
    <col min="3" max="7" width="5.7109375" style="24" customWidth="1"/>
    <col min="8" max="8" width="10.85546875" style="24" customWidth="1"/>
    <col min="9" max="9" width="5.7109375" style="24" customWidth="1"/>
    <col min="10" max="10" width="6.140625" style="24" customWidth="1"/>
    <col min="11" max="12" width="7.140625" style="24" customWidth="1"/>
    <col min="13" max="13" width="6.140625" style="24" customWidth="1"/>
    <col min="14" max="14" width="5.85546875" style="24" customWidth="1"/>
    <col min="15" max="17" width="5.7109375" style="24" customWidth="1"/>
    <col min="18" max="18" width="6.42578125" style="24" customWidth="1"/>
    <col min="19" max="19" width="5.7109375" style="24" customWidth="1"/>
    <col min="20" max="20" width="6.140625" style="24" customWidth="1"/>
    <col min="21" max="23" width="5.7109375" style="24" customWidth="1"/>
    <col min="24" max="24" width="5.85546875" style="24" customWidth="1"/>
    <col min="25" max="33" width="4.28515625" style="24" customWidth="1"/>
    <col min="34" max="16384" width="8.85546875" style="24"/>
  </cols>
  <sheetData>
    <row r="3" spans="2:21" ht="40.35" customHeight="1" x14ac:dyDescent="0.2">
      <c r="G3" s="25" t="s">
        <v>0</v>
      </c>
    </row>
    <row r="4" spans="2:21" ht="6.6" customHeight="1" x14ac:dyDescent="0.2">
      <c r="G4" s="25"/>
    </row>
    <row r="5" spans="2:21" ht="12.6" customHeight="1" x14ac:dyDescent="0.2">
      <c r="B5" s="217" t="s">
        <v>131</v>
      </c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217"/>
    </row>
    <row r="6" spans="2:21" ht="12.6" customHeight="1" x14ac:dyDescent="0.2">
      <c r="B6" s="217"/>
      <c r="C6" s="217"/>
      <c r="D6" s="217"/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  <c r="S6" s="217"/>
      <c r="T6" s="217"/>
      <c r="U6" s="217"/>
    </row>
    <row r="7" spans="2:21" ht="16.350000000000001" customHeight="1" x14ac:dyDescent="0.2">
      <c r="B7" s="218" t="s">
        <v>104</v>
      </c>
      <c r="C7" s="218"/>
      <c r="D7" s="218"/>
      <c r="E7" s="218"/>
      <c r="F7" s="218"/>
      <c r="G7" s="218"/>
      <c r="H7" s="218"/>
      <c r="I7" s="219" t="s">
        <v>105</v>
      </c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19"/>
      <c r="U7" s="219"/>
    </row>
    <row r="8" spans="2:21" ht="16.350000000000001" customHeight="1" x14ac:dyDescent="0.2">
      <c r="B8" s="237" t="s">
        <v>113</v>
      </c>
      <c r="C8" s="237"/>
      <c r="D8" s="237"/>
      <c r="E8" s="237"/>
      <c r="F8" s="237"/>
      <c r="G8" s="237"/>
      <c r="H8" s="237"/>
      <c r="I8" s="244">
        <v>0</v>
      </c>
      <c r="J8" s="245"/>
      <c r="K8" s="246" t="s">
        <v>107</v>
      </c>
      <c r="L8" s="246"/>
      <c r="M8" s="246"/>
      <c r="N8" s="246"/>
      <c r="O8" s="246"/>
      <c r="P8" s="246"/>
      <c r="Q8" s="246"/>
      <c r="R8" s="246"/>
      <c r="S8" s="246"/>
      <c r="T8" s="246"/>
      <c r="U8" s="247"/>
    </row>
    <row r="9" spans="2:21" ht="16.350000000000001" customHeight="1" x14ac:dyDescent="0.2">
      <c r="B9" s="237" t="s">
        <v>114</v>
      </c>
      <c r="C9" s="237"/>
      <c r="D9" s="237"/>
      <c r="E9" s="237"/>
      <c r="F9" s="237"/>
      <c r="G9" s="237"/>
      <c r="H9" s="237"/>
      <c r="I9" s="244">
        <v>0</v>
      </c>
      <c r="J9" s="245"/>
      <c r="K9" s="246" t="s">
        <v>107</v>
      </c>
      <c r="L9" s="246"/>
      <c r="M9" s="246"/>
      <c r="N9" s="246"/>
      <c r="O9" s="246"/>
      <c r="P9" s="246"/>
      <c r="Q9" s="246"/>
      <c r="R9" s="246"/>
      <c r="S9" s="246"/>
      <c r="T9" s="246"/>
      <c r="U9" s="247"/>
    </row>
    <row r="10" spans="2:21" ht="16.350000000000001" customHeight="1" x14ac:dyDescent="0.2">
      <c r="G10" s="25"/>
    </row>
    <row r="11" spans="2:21" ht="12.6" customHeight="1" x14ac:dyDescent="0.2">
      <c r="B11" s="217" t="s">
        <v>139</v>
      </c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</row>
    <row r="12" spans="2:21" ht="12.6" customHeight="1" x14ac:dyDescent="0.2"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</row>
    <row r="13" spans="2:21" ht="16.350000000000001" customHeight="1" x14ac:dyDescent="0.2">
      <c r="B13" s="218" t="s">
        <v>140</v>
      </c>
      <c r="C13" s="218"/>
      <c r="D13" s="218"/>
      <c r="E13" s="218"/>
      <c r="F13" s="218"/>
      <c r="G13" s="218"/>
      <c r="H13" s="218"/>
      <c r="I13" s="219" t="s">
        <v>105</v>
      </c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</row>
    <row r="14" spans="2:21" ht="16.350000000000001" customHeight="1" x14ac:dyDescent="0.2">
      <c r="B14" s="249"/>
      <c r="C14" s="249"/>
      <c r="D14" s="249"/>
      <c r="E14" s="249"/>
      <c r="F14" s="249"/>
      <c r="G14" s="249"/>
      <c r="H14" s="249"/>
      <c r="I14" s="244">
        <v>0</v>
      </c>
      <c r="J14" s="245"/>
      <c r="K14" s="246" t="s">
        <v>107</v>
      </c>
      <c r="L14" s="246"/>
      <c r="M14" s="246"/>
      <c r="N14" s="246"/>
      <c r="O14" s="246"/>
      <c r="P14" s="246"/>
      <c r="Q14" s="246"/>
      <c r="R14" s="246"/>
      <c r="S14" s="246"/>
      <c r="T14" s="246"/>
      <c r="U14" s="247"/>
    </row>
    <row r="15" spans="2:21" ht="16.350000000000001" customHeight="1" x14ac:dyDescent="0.2">
      <c r="B15" s="249"/>
      <c r="C15" s="249"/>
      <c r="D15" s="249"/>
      <c r="E15" s="249"/>
      <c r="F15" s="249"/>
      <c r="G15" s="249"/>
      <c r="H15" s="249"/>
      <c r="I15" s="244"/>
      <c r="J15" s="245"/>
      <c r="K15" s="246" t="s">
        <v>107</v>
      </c>
      <c r="L15" s="246"/>
      <c r="M15" s="246"/>
      <c r="N15" s="246"/>
      <c r="O15" s="246"/>
      <c r="P15" s="246"/>
      <c r="Q15" s="246"/>
      <c r="R15" s="246"/>
      <c r="S15" s="246"/>
      <c r="T15" s="246"/>
      <c r="U15" s="247"/>
    </row>
    <row r="16" spans="2:21" ht="16.350000000000001" customHeight="1" x14ac:dyDescent="0.2">
      <c r="B16" s="249"/>
      <c r="C16" s="249"/>
      <c r="D16" s="249"/>
      <c r="E16" s="249"/>
      <c r="F16" s="249"/>
      <c r="G16" s="249"/>
      <c r="H16" s="249"/>
      <c r="I16" s="244"/>
      <c r="J16" s="245"/>
      <c r="K16" s="246" t="s">
        <v>107</v>
      </c>
      <c r="L16" s="246"/>
      <c r="M16" s="246"/>
      <c r="N16" s="246"/>
      <c r="O16" s="246"/>
      <c r="P16" s="246"/>
      <c r="Q16" s="246"/>
      <c r="R16" s="246"/>
      <c r="S16" s="246"/>
      <c r="T16" s="246"/>
      <c r="U16" s="247"/>
    </row>
    <row r="17" spans="1:24" ht="16.350000000000001" customHeight="1" x14ac:dyDescent="0.2">
      <c r="B17" s="249"/>
      <c r="C17" s="249"/>
      <c r="D17" s="249"/>
      <c r="E17" s="249"/>
      <c r="F17" s="249"/>
      <c r="G17" s="249"/>
      <c r="H17" s="249"/>
      <c r="I17" s="244"/>
      <c r="J17" s="245"/>
      <c r="K17" s="246" t="s">
        <v>107</v>
      </c>
      <c r="L17" s="246"/>
      <c r="M17" s="246"/>
      <c r="N17" s="246"/>
      <c r="O17" s="246"/>
      <c r="P17" s="246"/>
      <c r="Q17" s="246"/>
      <c r="R17" s="246"/>
      <c r="S17" s="246"/>
      <c r="T17" s="246"/>
      <c r="U17" s="247"/>
    </row>
    <row r="18" spans="1:24" ht="16.350000000000001" customHeight="1" x14ac:dyDescent="0.2">
      <c r="B18" s="249"/>
      <c r="C18" s="249"/>
      <c r="D18" s="249"/>
      <c r="E18" s="249"/>
      <c r="F18" s="249"/>
      <c r="G18" s="249"/>
      <c r="H18" s="249"/>
      <c r="I18" s="244"/>
      <c r="J18" s="245"/>
      <c r="K18" s="246" t="s">
        <v>107</v>
      </c>
      <c r="L18" s="246"/>
      <c r="M18" s="246"/>
      <c r="N18" s="246"/>
      <c r="O18" s="246"/>
      <c r="P18" s="246"/>
      <c r="Q18" s="246"/>
      <c r="R18" s="246"/>
      <c r="S18" s="246"/>
      <c r="T18" s="246"/>
      <c r="U18" s="247"/>
    </row>
    <row r="19" spans="1:24" ht="16.350000000000001" customHeight="1" x14ac:dyDescent="0.2">
      <c r="B19" s="249"/>
      <c r="C19" s="249"/>
      <c r="D19" s="249"/>
      <c r="E19" s="249"/>
      <c r="F19" s="249"/>
      <c r="G19" s="249"/>
      <c r="H19" s="249"/>
      <c r="I19" s="244"/>
      <c r="J19" s="245"/>
      <c r="K19" s="246" t="s">
        <v>107</v>
      </c>
      <c r="L19" s="246"/>
      <c r="M19" s="246"/>
      <c r="N19" s="246"/>
      <c r="O19" s="246"/>
      <c r="P19" s="246"/>
      <c r="Q19" s="246"/>
      <c r="R19" s="246"/>
      <c r="S19" s="246"/>
      <c r="T19" s="246"/>
      <c r="U19" s="247"/>
    </row>
    <row r="20" spans="1:24" ht="16.350000000000001" customHeight="1" x14ac:dyDescent="0.2">
      <c r="B20" s="249"/>
      <c r="C20" s="249"/>
      <c r="D20" s="249"/>
      <c r="E20" s="249"/>
      <c r="F20" s="249"/>
      <c r="G20" s="249"/>
      <c r="H20" s="249"/>
      <c r="I20" s="244"/>
      <c r="J20" s="245"/>
      <c r="K20" s="246" t="s">
        <v>107</v>
      </c>
      <c r="L20" s="246"/>
      <c r="M20" s="246"/>
      <c r="N20" s="246"/>
      <c r="O20" s="246"/>
      <c r="P20" s="246"/>
      <c r="Q20" s="246"/>
      <c r="R20" s="246"/>
      <c r="S20" s="246"/>
      <c r="T20" s="246"/>
      <c r="U20" s="247"/>
    </row>
    <row r="21" spans="1:24" ht="16.350000000000001" customHeight="1" x14ac:dyDescent="0.2">
      <c r="B21" s="249"/>
      <c r="C21" s="249"/>
      <c r="D21" s="249"/>
      <c r="E21" s="249"/>
      <c r="F21" s="249"/>
      <c r="G21" s="249"/>
      <c r="H21" s="249"/>
      <c r="I21" s="244"/>
      <c r="J21" s="245"/>
      <c r="K21" s="246" t="s">
        <v>107</v>
      </c>
      <c r="L21" s="246"/>
      <c r="M21" s="246"/>
      <c r="N21" s="246"/>
      <c r="O21" s="246"/>
      <c r="P21" s="246"/>
      <c r="Q21" s="246"/>
      <c r="R21" s="246"/>
      <c r="S21" s="246"/>
      <c r="T21" s="246"/>
      <c r="U21" s="247"/>
    </row>
    <row r="22" spans="1:24" ht="16.350000000000001" customHeight="1" x14ac:dyDescent="0.2">
      <c r="B22" s="237" t="s">
        <v>122</v>
      </c>
      <c r="C22" s="237"/>
      <c r="D22" s="237"/>
      <c r="E22" s="237"/>
      <c r="F22" s="237"/>
      <c r="G22" s="237"/>
      <c r="H22" s="237"/>
      <c r="I22" s="244">
        <v>0</v>
      </c>
      <c r="J22" s="245"/>
      <c r="K22" s="246" t="s">
        <v>107</v>
      </c>
      <c r="L22" s="246"/>
      <c r="M22" s="246"/>
      <c r="N22" s="246"/>
      <c r="O22" s="246"/>
      <c r="P22" s="246"/>
      <c r="Q22" s="246"/>
      <c r="R22" s="246"/>
      <c r="S22" s="246"/>
      <c r="T22" s="246"/>
      <c r="U22" s="247"/>
    </row>
    <row r="23" spans="1:24" ht="16.350000000000001" customHeight="1" x14ac:dyDescent="0.2">
      <c r="B23" s="218" t="s">
        <v>104</v>
      </c>
      <c r="C23" s="218"/>
      <c r="D23" s="218"/>
      <c r="E23" s="218"/>
      <c r="F23" s="218"/>
      <c r="G23" s="218"/>
      <c r="H23" s="218"/>
      <c r="I23" s="219" t="s">
        <v>105</v>
      </c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</row>
    <row r="24" spans="1:24" ht="16.350000000000001" customHeight="1" x14ac:dyDescent="0.2">
      <c r="B24" s="237" t="s">
        <v>113</v>
      </c>
      <c r="C24" s="237"/>
      <c r="D24" s="237"/>
      <c r="E24" s="237"/>
      <c r="F24" s="237"/>
      <c r="G24" s="237"/>
      <c r="H24" s="237"/>
      <c r="I24" s="244">
        <v>0</v>
      </c>
      <c r="J24" s="245"/>
      <c r="K24" s="246" t="s">
        <v>107</v>
      </c>
      <c r="L24" s="246"/>
      <c r="M24" s="246"/>
      <c r="N24" s="246"/>
      <c r="O24" s="246"/>
      <c r="P24" s="246"/>
      <c r="Q24" s="246"/>
      <c r="R24" s="246"/>
      <c r="S24" s="246"/>
      <c r="T24" s="246"/>
      <c r="U24" s="247"/>
    </row>
    <row r="25" spans="1:24" ht="16.350000000000001" customHeight="1" x14ac:dyDescent="0.2">
      <c r="B25" s="237" t="s">
        <v>114</v>
      </c>
      <c r="C25" s="237"/>
      <c r="D25" s="237"/>
      <c r="E25" s="237"/>
      <c r="F25" s="237"/>
      <c r="G25" s="237"/>
      <c r="H25" s="237"/>
      <c r="I25" s="244">
        <v>0</v>
      </c>
      <c r="J25" s="245"/>
      <c r="K25" s="246" t="s">
        <v>107</v>
      </c>
      <c r="L25" s="246"/>
      <c r="M25" s="246"/>
      <c r="N25" s="246"/>
      <c r="O25" s="246"/>
      <c r="P25" s="246"/>
      <c r="Q25" s="246"/>
      <c r="R25" s="246"/>
      <c r="S25" s="246"/>
      <c r="T25" s="246"/>
      <c r="U25" s="247"/>
    </row>
    <row r="26" spans="1:24" ht="12.6" customHeight="1" x14ac:dyDescent="0.2">
      <c r="G26" s="25"/>
    </row>
    <row r="27" spans="1:24" ht="19.5" x14ac:dyDescent="0.2">
      <c r="A27" s="31"/>
      <c r="B27" s="252" t="s">
        <v>141</v>
      </c>
      <c r="C27" s="252"/>
      <c r="D27" s="252"/>
      <c r="E27" s="252"/>
      <c r="F27" s="252"/>
      <c r="G27" s="252"/>
      <c r="H27" s="252"/>
      <c r="I27" s="252"/>
      <c r="J27" s="252"/>
      <c r="K27" s="252"/>
      <c r="L27" s="252"/>
      <c r="M27" s="252"/>
      <c r="N27" s="252"/>
      <c r="O27" s="252"/>
      <c r="P27" s="252"/>
      <c r="Q27" s="252"/>
      <c r="R27" s="252"/>
      <c r="S27" s="252"/>
      <c r="T27" s="252"/>
      <c r="U27" s="252"/>
      <c r="V27" s="252"/>
      <c r="W27" s="252"/>
      <c r="X27" s="252"/>
    </row>
    <row r="28" spans="1:24" ht="19.5" x14ac:dyDescent="0.2">
      <c r="A28" s="31"/>
      <c r="B28" s="253" t="s">
        <v>142</v>
      </c>
      <c r="C28" s="254"/>
      <c r="D28" s="254"/>
      <c r="E28" s="254"/>
      <c r="F28" s="254"/>
      <c r="G28" s="254"/>
      <c r="H28" s="254"/>
      <c r="I28" s="254"/>
      <c r="J28" s="254"/>
      <c r="K28" s="254"/>
      <c r="L28" s="254"/>
      <c r="M28" s="254"/>
      <c r="N28" s="254"/>
      <c r="O28" s="254"/>
      <c r="P28" s="254"/>
      <c r="Q28" s="254"/>
      <c r="R28" s="254"/>
      <c r="S28" s="254"/>
      <c r="T28" s="254"/>
      <c r="U28" s="254"/>
      <c r="V28" s="254"/>
      <c r="W28" s="254"/>
      <c r="X28" s="255"/>
    </row>
    <row r="29" spans="1:24" ht="19.5" x14ac:dyDescent="0.2">
      <c r="A29" s="31"/>
      <c r="B29" s="257" t="s">
        <v>143</v>
      </c>
      <c r="C29" s="258"/>
      <c r="D29" s="258"/>
      <c r="E29" s="258"/>
      <c r="F29" s="258"/>
      <c r="G29" s="258"/>
      <c r="H29" s="258"/>
      <c r="I29" s="258"/>
      <c r="J29" s="258"/>
      <c r="K29" s="258"/>
      <c r="L29" s="258"/>
      <c r="M29" s="258"/>
      <c r="N29" s="259"/>
      <c r="O29" s="259"/>
      <c r="P29" s="259"/>
      <c r="Q29" s="259"/>
      <c r="R29" s="259"/>
      <c r="S29" s="259"/>
      <c r="T29" s="259"/>
      <c r="U29" s="259"/>
      <c r="V29" s="259"/>
      <c r="W29" s="259"/>
      <c r="X29" s="260"/>
    </row>
    <row r="31" spans="1:24" ht="22.5" x14ac:dyDescent="0.2">
      <c r="A31" s="27" t="s">
        <v>144</v>
      </c>
      <c r="M31" s="256" t="s">
        <v>431</v>
      </c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</row>
    <row r="33" spans="1:24" ht="25.5" x14ac:dyDescent="0.2">
      <c r="A33" s="27" t="s">
        <v>145</v>
      </c>
      <c r="M33" s="121" t="str">
        <f>IF(CONTROLS!C14=TRUE,"P","")</f>
        <v>P</v>
      </c>
      <c r="N33" s="139" t="s">
        <v>54</v>
      </c>
      <c r="O33" s="121" t="str">
        <f>IF(CONTROLS!C15=TRUE,"P","")</f>
        <v/>
      </c>
      <c r="P33" s="37" t="s">
        <v>146</v>
      </c>
      <c r="Q33" s="139"/>
    </row>
    <row r="34" spans="1:24" ht="13.35" customHeight="1" x14ac:dyDescent="0.2">
      <c r="A34" s="105">
        <f>IF(COUNTIF(M33:X33,"P")=0,"",COUNTIF(M33:X33,"P"))</f>
        <v>1</v>
      </c>
      <c r="B34" s="167"/>
      <c r="C34" s="167"/>
      <c r="D34" s="167"/>
      <c r="E34" s="167"/>
      <c r="F34" s="167"/>
      <c r="G34" s="167"/>
      <c r="H34" s="167"/>
      <c r="I34" s="167"/>
      <c r="J34" s="167"/>
      <c r="K34" s="167"/>
      <c r="L34" s="167"/>
      <c r="M34" s="167"/>
      <c r="N34" s="167"/>
      <c r="O34" s="167"/>
      <c r="P34" s="167"/>
      <c r="Q34" s="167"/>
      <c r="R34" s="167"/>
      <c r="S34" s="167"/>
      <c r="T34" s="167"/>
      <c r="U34" s="167"/>
      <c r="V34" s="167"/>
      <c r="W34" s="167"/>
      <c r="X34" s="167"/>
    </row>
    <row r="35" spans="1:24" ht="8.4499999999999993" customHeight="1" x14ac:dyDescent="0.2">
      <c r="B35" s="167"/>
      <c r="C35" s="167"/>
      <c r="D35" s="167"/>
      <c r="E35" s="167"/>
      <c r="F35" s="167"/>
      <c r="G35" s="167"/>
      <c r="H35" s="167"/>
      <c r="I35" s="167"/>
      <c r="J35" s="167"/>
      <c r="K35" s="167"/>
      <c r="L35" s="167"/>
      <c r="M35" s="167"/>
      <c r="N35" s="167"/>
      <c r="O35" s="167"/>
      <c r="P35" s="167"/>
      <c r="Q35" s="167"/>
      <c r="R35" s="167"/>
      <c r="S35" s="167"/>
      <c r="T35" s="167"/>
      <c r="U35" s="167"/>
      <c r="V35" s="167"/>
      <c r="W35" s="167"/>
      <c r="X35" s="167"/>
    </row>
    <row r="36" spans="1:24" ht="13.35" customHeight="1" x14ac:dyDescent="0.2">
      <c r="B36" s="167"/>
      <c r="C36" s="167"/>
      <c r="D36" s="167"/>
      <c r="E36" s="167"/>
      <c r="F36" s="167"/>
      <c r="G36" s="167"/>
      <c r="H36" s="167"/>
      <c r="I36" s="167"/>
      <c r="J36" s="167"/>
      <c r="K36" s="167"/>
      <c r="L36" s="167"/>
      <c r="M36" s="167"/>
      <c r="N36" s="167"/>
      <c r="O36" s="167"/>
      <c r="P36" s="167"/>
      <c r="Q36" s="167"/>
      <c r="R36" s="167"/>
      <c r="S36" s="167"/>
      <c r="T36" s="167"/>
      <c r="U36" s="167"/>
      <c r="V36" s="167"/>
      <c r="W36" s="167"/>
      <c r="X36" s="167"/>
    </row>
    <row r="38" spans="1:24" ht="16.5" x14ac:dyDescent="0.25">
      <c r="B38" s="32" t="s">
        <v>147</v>
      </c>
    </row>
    <row r="39" spans="1:24" ht="16.5" x14ac:dyDescent="0.25">
      <c r="B39" s="32" t="s">
        <v>148</v>
      </c>
    </row>
    <row r="40" spans="1:24" ht="16.5" x14ac:dyDescent="0.25">
      <c r="B40" s="32" t="s">
        <v>149</v>
      </c>
    </row>
    <row r="41" spans="1:24" ht="22.5" x14ac:dyDescent="0.2">
      <c r="A41" s="27" t="s">
        <v>150</v>
      </c>
    </row>
    <row r="42" spans="1:24" ht="20.45" customHeight="1" x14ac:dyDescent="0.3">
      <c r="B42" s="121" t="str">
        <f>IF(CONTROLS!D2=TRUE,"P","")</f>
        <v/>
      </c>
      <c r="C42" s="29" t="s">
        <v>151</v>
      </c>
      <c r="J42" s="121" t="str">
        <f>IF(CONTROLS!D3=TRUE,"P","")</f>
        <v/>
      </c>
      <c r="K42" s="29" t="s">
        <v>152</v>
      </c>
      <c r="Q42" s="121" t="str">
        <f>IF(CONTROLS!D4=TRUE,"P","")</f>
        <v/>
      </c>
      <c r="R42" s="29" t="s">
        <v>153</v>
      </c>
    </row>
    <row r="43" spans="1:24" ht="19.5" x14ac:dyDescent="0.3">
      <c r="B43" s="36" t="s">
        <v>107</v>
      </c>
      <c r="C43" s="250"/>
      <c r="D43" s="250"/>
      <c r="J43" s="36" t="s">
        <v>107</v>
      </c>
      <c r="K43" s="250"/>
      <c r="L43" s="250"/>
      <c r="Q43" s="36" t="s">
        <v>107</v>
      </c>
      <c r="R43" s="250"/>
      <c r="S43" s="250"/>
    </row>
    <row r="44" spans="1:24" ht="16.5" x14ac:dyDescent="0.25">
      <c r="B44" s="149" t="s">
        <v>154</v>
      </c>
    </row>
    <row r="45" spans="1:24" ht="16.5" x14ac:dyDescent="0.25">
      <c r="B45" s="149" t="s">
        <v>155</v>
      </c>
    </row>
    <row r="46" spans="1:24" ht="7.7" customHeight="1" x14ac:dyDescent="0.2"/>
    <row r="47" spans="1:24" ht="22.5" x14ac:dyDescent="0.2">
      <c r="A47" s="27" t="s">
        <v>156</v>
      </c>
    </row>
    <row r="48" spans="1:24" s="31" customFormat="1" ht="25.5" x14ac:dyDescent="0.25">
      <c r="B48" s="121" t="str">
        <f>IF(CONTROLS!D5=TRUE,"P","")</f>
        <v>P</v>
      </c>
      <c r="C48" s="37" t="s">
        <v>54</v>
      </c>
      <c r="E48" s="121" t="str">
        <f>IF(CONTROLS!D6=TRUE,"P","")</f>
        <v/>
      </c>
      <c r="F48" s="37" t="s">
        <v>157</v>
      </c>
      <c r="N48" s="162"/>
      <c r="O48" s="162"/>
      <c r="P48" s="162"/>
      <c r="Q48" s="162"/>
      <c r="R48" s="162"/>
      <c r="S48" s="162"/>
      <c r="T48" s="162"/>
      <c r="U48" s="162"/>
      <c r="V48" s="162"/>
      <c r="W48" s="162"/>
      <c r="X48" s="162"/>
    </row>
    <row r="49" spans="1:24" hidden="1" x14ac:dyDescent="0.2"/>
    <row r="50" spans="1:24" hidden="1" x14ac:dyDescent="0.2"/>
    <row r="51" spans="1:24" ht="22.5" x14ac:dyDescent="0.2">
      <c r="A51" s="27" t="s">
        <v>158</v>
      </c>
    </row>
    <row r="52" spans="1:24" ht="20.45" customHeight="1" x14ac:dyDescent="0.2">
      <c r="B52" s="38" t="s">
        <v>159</v>
      </c>
      <c r="C52" s="39"/>
      <c r="D52" s="251" t="s">
        <v>432</v>
      </c>
      <c r="E52" s="251"/>
      <c r="F52" s="251"/>
      <c r="G52" s="251"/>
      <c r="H52" s="251"/>
      <c r="I52" s="38" t="s">
        <v>160</v>
      </c>
      <c r="J52" s="39"/>
      <c r="K52" s="251" t="s">
        <v>433</v>
      </c>
      <c r="L52" s="251"/>
      <c r="M52" s="251"/>
      <c r="N52" s="251"/>
      <c r="O52" s="251"/>
      <c r="P52" s="251"/>
      <c r="Q52" s="38" t="s">
        <v>161</v>
      </c>
      <c r="S52" s="251" t="s">
        <v>434</v>
      </c>
      <c r="T52" s="251"/>
      <c r="U52" s="251"/>
      <c r="V52" s="251"/>
      <c r="W52" s="251"/>
      <c r="X52" s="251"/>
    </row>
    <row r="54" spans="1:24" ht="25.5" x14ac:dyDescent="0.2">
      <c r="A54" s="27" t="s">
        <v>162</v>
      </c>
      <c r="J54" s="121" t="str">
        <f>IF(CONTROLS!D7=TRUE,"P","")</f>
        <v>P</v>
      </c>
      <c r="K54" s="37" t="s">
        <v>163</v>
      </c>
      <c r="M54" s="121" t="str">
        <f>IF(CONTROLS!D8=TRUE,"P","")</f>
        <v/>
      </c>
      <c r="N54" s="37" t="s">
        <v>164</v>
      </c>
    </row>
    <row r="55" spans="1:24" ht="10.35" customHeight="1" x14ac:dyDescent="0.3">
      <c r="A55" s="24">
        <f>IF(COUNTIF(J54:M54,"P")=0,"",COUNTIF(J54:M54,"P"))</f>
        <v>1</v>
      </c>
      <c r="V55" s="101"/>
      <c r="W55" s="101"/>
      <c r="X55" s="101"/>
    </row>
    <row r="56" spans="1:24" ht="22.5" x14ac:dyDescent="0.3">
      <c r="A56" s="27" t="s">
        <v>165</v>
      </c>
      <c r="Q56" s="101"/>
      <c r="R56" s="101"/>
      <c r="S56" s="101"/>
      <c r="T56" s="101"/>
      <c r="U56" s="101"/>
      <c r="V56" s="101"/>
      <c r="W56" s="101"/>
      <c r="X56" s="101"/>
    </row>
    <row r="57" spans="1:24" ht="22.5" x14ac:dyDescent="0.2">
      <c r="A57" s="27" t="s">
        <v>166</v>
      </c>
    </row>
    <row r="58" spans="1:24" ht="25.5" x14ac:dyDescent="0.2">
      <c r="B58" s="37" t="s">
        <v>167</v>
      </c>
      <c r="T58" s="121" t="str">
        <f>IF(CONTROLS!D9=TRUE,"P","")</f>
        <v/>
      </c>
      <c r="U58" s="37" t="s">
        <v>71</v>
      </c>
      <c r="V58" s="121" t="str">
        <f>IF(CONTROLS!D15=TRUE,"P","")</f>
        <v>P</v>
      </c>
      <c r="W58" s="37" t="s">
        <v>54</v>
      </c>
    </row>
    <row r="59" spans="1:24" ht="25.5" x14ac:dyDescent="0.2">
      <c r="B59" s="37" t="s">
        <v>168</v>
      </c>
      <c r="T59" s="121" t="str">
        <f>IF(CONTROLS!D10=TRUE,"P","")</f>
        <v/>
      </c>
      <c r="U59" s="37" t="s">
        <v>71</v>
      </c>
      <c r="V59" s="121" t="str">
        <f>IF(CONTROLS!D16=TRUE,"P","")</f>
        <v>P</v>
      </c>
      <c r="W59" s="37" t="s">
        <v>54</v>
      </c>
    </row>
    <row r="60" spans="1:24" ht="25.5" x14ac:dyDescent="0.2">
      <c r="B60" s="37" t="s">
        <v>169</v>
      </c>
      <c r="T60" s="121" t="str">
        <f>IF(CONTROLS!D11=TRUE,"P","")</f>
        <v/>
      </c>
      <c r="U60" s="37" t="s">
        <v>71</v>
      </c>
      <c r="V60" s="121" t="str">
        <f>IF(CONTROLS!D17=TRUE,"P","")</f>
        <v>P</v>
      </c>
      <c r="W60" s="37" t="s">
        <v>54</v>
      </c>
    </row>
    <row r="61" spans="1:24" ht="25.5" x14ac:dyDescent="0.2">
      <c r="B61" s="37" t="s">
        <v>170</v>
      </c>
      <c r="T61" s="121" t="str">
        <f>IF(CONTROLS!D12=TRUE,"P","")</f>
        <v/>
      </c>
      <c r="U61" s="37" t="s">
        <v>71</v>
      </c>
      <c r="V61" s="121" t="str">
        <f>IF(CONTROLS!D18=TRUE,"P","")</f>
        <v>P</v>
      </c>
      <c r="W61" s="37" t="s">
        <v>54</v>
      </c>
    </row>
    <row r="62" spans="1:24" ht="19.5" x14ac:dyDescent="0.2">
      <c r="B62" s="37" t="s">
        <v>171</v>
      </c>
    </row>
    <row r="63" spans="1:24" ht="19.5" x14ac:dyDescent="0.2">
      <c r="B63" s="37" t="s">
        <v>172</v>
      </c>
    </row>
    <row r="64" spans="1:24" ht="25.5" x14ac:dyDescent="0.2">
      <c r="B64" s="37" t="s">
        <v>173</v>
      </c>
      <c r="T64" s="121" t="str">
        <f>IF(CONTROLS!D13=TRUE,"P","")</f>
        <v/>
      </c>
      <c r="U64" s="37" t="s">
        <v>71</v>
      </c>
      <c r="V64" s="121" t="str">
        <f>IF(CONTROLS!D19=TRUE,"P","")</f>
        <v>P</v>
      </c>
      <c r="W64" s="37" t="s">
        <v>54</v>
      </c>
    </row>
    <row r="65" spans="1:23" ht="19.5" x14ac:dyDescent="0.2">
      <c r="B65" s="37" t="s">
        <v>174</v>
      </c>
    </row>
    <row r="66" spans="1:23" ht="25.5" x14ac:dyDescent="0.2">
      <c r="B66" s="37" t="s">
        <v>175</v>
      </c>
      <c r="T66" s="121" t="str">
        <f>IF(CONTROLS!D14=TRUE,"P","")</f>
        <v/>
      </c>
      <c r="U66" s="37" t="s">
        <v>71</v>
      </c>
      <c r="V66" s="121" t="str">
        <f>IF(CONTROLS!D20=TRUE,"P","")</f>
        <v>P</v>
      </c>
      <c r="W66" s="37" t="s">
        <v>54</v>
      </c>
    </row>
    <row r="67" spans="1:23" ht="15.6" customHeight="1" x14ac:dyDescent="0.2">
      <c r="B67" s="37" t="s">
        <v>174</v>
      </c>
    </row>
    <row r="68" spans="1:23" ht="18.75" x14ac:dyDescent="0.3">
      <c r="A68" s="26" t="s">
        <v>176</v>
      </c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O68" s="33"/>
      <c r="P68" s="33"/>
      <c r="Q68" s="33"/>
      <c r="R68" s="33"/>
      <c r="S68" s="33"/>
      <c r="T68" s="26"/>
      <c r="U68" s="26"/>
      <c r="V68" s="26"/>
      <c r="W68" s="34" t="s">
        <v>57</v>
      </c>
    </row>
    <row r="69" spans="1:23" ht="18.75" x14ac:dyDescent="0.3"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33"/>
      <c r="O69" s="33"/>
      <c r="P69" s="33"/>
      <c r="Q69" s="33"/>
      <c r="R69" s="33"/>
      <c r="T69" s="26"/>
      <c r="U69" s="26"/>
      <c r="V69" s="26"/>
      <c r="W69" s="35" t="s">
        <v>58</v>
      </c>
    </row>
    <row r="70" spans="1:23" ht="15.75" x14ac:dyDescent="0.25"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</row>
  </sheetData>
  <sheetProtection algorithmName="SHA-512" hashValue="7MsXoWQ0embFwbY7O9u5HKRgVpG/QEz9/A82wTOyfDBI6ed1ov5vt0AFkwP00oj22Gnds+Kwcm4oMs7mZcbvvQ==" saltValue="juU+UsC82yoQFN3ZqQ7zMg==" spinCount="100000" sheet="1" objects="1" scenarios="1"/>
  <mergeCells count="60">
    <mergeCell ref="B22:H22"/>
    <mergeCell ref="I22:J22"/>
    <mergeCell ref="K22:U22"/>
    <mergeCell ref="B25:H25"/>
    <mergeCell ref="I25:J25"/>
    <mergeCell ref="K25:U25"/>
    <mergeCell ref="B23:H23"/>
    <mergeCell ref="I23:U23"/>
    <mergeCell ref="B24:H24"/>
    <mergeCell ref="I24:J24"/>
    <mergeCell ref="K24:U24"/>
    <mergeCell ref="B5:U6"/>
    <mergeCell ref="B7:H7"/>
    <mergeCell ref="I7:U7"/>
    <mergeCell ref="B8:H8"/>
    <mergeCell ref="I8:J8"/>
    <mergeCell ref="K8:U8"/>
    <mergeCell ref="B28:X28"/>
    <mergeCell ref="M31:X31"/>
    <mergeCell ref="B34:X36"/>
    <mergeCell ref="B29:M29"/>
    <mergeCell ref="N29:X29"/>
    <mergeCell ref="B27:X27"/>
    <mergeCell ref="B17:H17"/>
    <mergeCell ref="I17:J17"/>
    <mergeCell ref="K17:U17"/>
    <mergeCell ref="B18:H18"/>
    <mergeCell ref="I18:J18"/>
    <mergeCell ref="K18:U18"/>
    <mergeCell ref="B19:H19"/>
    <mergeCell ref="I19:J19"/>
    <mergeCell ref="K19:U19"/>
    <mergeCell ref="B20:H20"/>
    <mergeCell ref="I20:J20"/>
    <mergeCell ref="K20:U20"/>
    <mergeCell ref="B21:H21"/>
    <mergeCell ref="I21:J21"/>
    <mergeCell ref="K21:U21"/>
    <mergeCell ref="B9:H9"/>
    <mergeCell ref="I9:J9"/>
    <mergeCell ref="K9:U9"/>
    <mergeCell ref="I16:J16"/>
    <mergeCell ref="K16:U16"/>
    <mergeCell ref="B15:H15"/>
    <mergeCell ref="I15:J15"/>
    <mergeCell ref="K15:U15"/>
    <mergeCell ref="B16:H16"/>
    <mergeCell ref="B11:U12"/>
    <mergeCell ref="B13:H13"/>
    <mergeCell ref="I13:U13"/>
    <mergeCell ref="B14:H14"/>
    <mergeCell ref="I14:J14"/>
    <mergeCell ref="K14:U14"/>
    <mergeCell ref="C43:D43"/>
    <mergeCell ref="K43:L43"/>
    <mergeCell ref="R43:S43"/>
    <mergeCell ref="N48:X48"/>
    <mergeCell ref="D52:H52"/>
    <mergeCell ref="K52:P52"/>
    <mergeCell ref="S52:X52"/>
  </mergeCells>
  <conditionalFormatting sqref="N48:X48">
    <cfRule type="notContainsBlanks" dxfId="101" priority="19">
      <formula>LEN(TRIM(N48))&gt;0</formula>
    </cfRule>
    <cfRule type="expression" dxfId="100" priority="20">
      <formula>$E$48="P"</formula>
    </cfRule>
  </conditionalFormatting>
  <conditionalFormatting sqref="B34:X36">
    <cfRule type="notContainsBlanks" dxfId="99" priority="11">
      <formula>LEN(TRIM(B34))&gt;0</formula>
    </cfRule>
    <cfRule type="expression" dxfId="98" priority="12">
      <formula>$O$33="P"</formula>
    </cfRule>
    <cfRule type="notContainsBlanks" dxfId="97" priority="13">
      <formula>LEN(TRIM(B34))&gt;0</formula>
    </cfRule>
    <cfRule type="expression" dxfId="96" priority="14">
      <formula>$O$33="P"</formula>
    </cfRule>
  </conditionalFormatting>
  <conditionalFormatting sqref="I8:J9">
    <cfRule type="notContainsBlanks" dxfId="95" priority="3">
      <formula>LEN(TRIM(I8))&gt;0</formula>
    </cfRule>
  </conditionalFormatting>
  <conditionalFormatting sqref="I14:J22">
    <cfRule type="notContainsBlanks" dxfId="94" priority="2">
      <formula>LEN(TRIM(I14))&gt;0</formula>
    </cfRule>
  </conditionalFormatting>
  <conditionalFormatting sqref="I24:J25">
    <cfRule type="notContainsBlanks" dxfId="93" priority="1">
      <formula>LEN(TRIM(I24))&gt;0</formula>
    </cfRule>
  </conditionalFormatting>
  <pageMargins left="0.7" right="0.7" top="0.25" bottom="0.25" header="0.3" footer="0.3"/>
  <pageSetup scale="6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9" r:id="rId4" name="Check Box 15">
              <controlPr defaultSize="0" print="0" autoFill="0" autoLine="0" autoPict="0">
                <anchor moveWithCells="1">
                  <from>
                    <xdr:col>1</xdr:col>
                    <xdr:colOff>123825</xdr:colOff>
                    <xdr:row>40</xdr:row>
                    <xdr:rowOff>266700</xdr:rowOff>
                  </from>
                  <to>
                    <xdr:col>1</xdr:col>
                    <xdr:colOff>447675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5" name="Check Box 16">
              <controlPr defaultSize="0" print="0" autoFill="0" autoLine="0" autoPict="0">
                <anchor moveWithCells="1">
                  <from>
                    <xdr:col>9</xdr:col>
                    <xdr:colOff>85725</xdr:colOff>
                    <xdr:row>40</xdr:row>
                    <xdr:rowOff>266700</xdr:rowOff>
                  </from>
                  <to>
                    <xdr:col>9</xdr:col>
                    <xdr:colOff>409575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6" name="Check Box 17">
              <controlPr defaultSize="0" print="0" autoFill="0" autoLine="0" autoPict="0">
                <anchor moveWithCells="1">
                  <from>
                    <xdr:col>16</xdr:col>
                    <xdr:colOff>76200</xdr:colOff>
                    <xdr:row>40</xdr:row>
                    <xdr:rowOff>266700</xdr:rowOff>
                  </from>
                  <to>
                    <xdr:col>17</xdr:col>
                    <xdr:colOff>9525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7" name="Check Box 20">
              <controlPr defaultSize="0" print="0" autoFill="0" autoLine="0" autoPict="0">
                <anchor moveWithCells="1">
                  <from>
                    <xdr:col>9</xdr:col>
                    <xdr:colOff>123825</xdr:colOff>
                    <xdr:row>52</xdr:row>
                    <xdr:rowOff>161925</xdr:rowOff>
                  </from>
                  <to>
                    <xdr:col>10</xdr:col>
                    <xdr:colOff>9525</xdr:colOff>
                    <xdr:row>53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8" name="Check Box 21">
              <controlPr defaultSize="0" print="0" autoFill="0" autoLine="0" autoPict="0">
                <anchor moveWithCells="1">
                  <from>
                    <xdr:col>12</xdr:col>
                    <xdr:colOff>123825</xdr:colOff>
                    <xdr:row>53</xdr:row>
                    <xdr:rowOff>9525</xdr:rowOff>
                  </from>
                  <to>
                    <xdr:col>13</xdr:col>
                    <xdr:colOff>9525</xdr:colOff>
                    <xdr:row>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9" name="Check Box 27">
              <controlPr defaultSize="0" print="0" autoFill="0" autoLine="0" autoPict="0">
                <anchor moveWithCells="1">
                  <from>
                    <xdr:col>19</xdr:col>
                    <xdr:colOff>123825</xdr:colOff>
                    <xdr:row>57</xdr:row>
                    <xdr:rowOff>47625</xdr:rowOff>
                  </from>
                  <to>
                    <xdr:col>19</xdr:col>
                    <xdr:colOff>342900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10" name="Check Box 52">
              <controlPr defaultSize="0" print="0" autoFill="0" autoLine="0" autoPict="0">
                <anchor moveWithCells="1">
                  <from>
                    <xdr:col>21</xdr:col>
                    <xdr:colOff>104775</xdr:colOff>
                    <xdr:row>57</xdr:row>
                    <xdr:rowOff>314325</xdr:rowOff>
                  </from>
                  <to>
                    <xdr:col>21</xdr:col>
                    <xdr:colOff>333375</xdr:colOff>
                    <xdr:row>59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11" name="Check Box 53">
              <controlPr defaultSize="0" print="0" autoFill="0" autoLine="0" autoPict="0">
                <anchor moveWithCells="1">
                  <from>
                    <xdr:col>19</xdr:col>
                    <xdr:colOff>123825</xdr:colOff>
                    <xdr:row>58</xdr:row>
                    <xdr:rowOff>304800</xdr:rowOff>
                  </from>
                  <to>
                    <xdr:col>19</xdr:col>
                    <xdr:colOff>352425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12" name="Check Box 55">
              <controlPr defaultSize="0" print="0" autoFill="0" autoLine="0" autoPict="0">
                <anchor moveWithCells="1">
                  <from>
                    <xdr:col>19</xdr:col>
                    <xdr:colOff>123825</xdr:colOff>
                    <xdr:row>57</xdr:row>
                    <xdr:rowOff>314325</xdr:rowOff>
                  </from>
                  <to>
                    <xdr:col>19</xdr:col>
                    <xdr:colOff>333375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13" name="Check Box 56">
              <controlPr defaultSize="0" print="0" autoFill="0" autoLine="0" autoPict="0">
                <anchor moveWithCells="1">
                  <from>
                    <xdr:col>19</xdr:col>
                    <xdr:colOff>123825</xdr:colOff>
                    <xdr:row>59</xdr:row>
                    <xdr:rowOff>304800</xdr:rowOff>
                  </from>
                  <to>
                    <xdr:col>19</xdr:col>
                    <xdr:colOff>390525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14" name="Check Box 57">
              <controlPr defaultSize="0" print="0" autoFill="0" autoLine="0" autoPict="0">
                <anchor moveWithCells="1">
                  <from>
                    <xdr:col>21</xdr:col>
                    <xdr:colOff>104775</xdr:colOff>
                    <xdr:row>59</xdr:row>
                    <xdr:rowOff>314325</xdr:rowOff>
                  </from>
                  <to>
                    <xdr:col>21</xdr:col>
                    <xdr:colOff>314325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15" name="Check Box 58">
              <controlPr defaultSize="0" print="0" autoFill="0" autoLine="0" autoPict="0">
                <anchor moveWithCells="1">
                  <from>
                    <xdr:col>21</xdr:col>
                    <xdr:colOff>104775</xdr:colOff>
                    <xdr:row>58</xdr:row>
                    <xdr:rowOff>314325</xdr:rowOff>
                  </from>
                  <to>
                    <xdr:col>21</xdr:col>
                    <xdr:colOff>333375</xdr:colOff>
                    <xdr:row>60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4" r:id="rId16" name="Check Box 60">
              <controlPr defaultSize="0" print="0" autoFill="0" autoLine="0" autoPict="0">
                <anchor moveWithCells="1">
                  <from>
                    <xdr:col>21</xdr:col>
                    <xdr:colOff>85725</xdr:colOff>
                    <xdr:row>57</xdr:row>
                    <xdr:rowOff>28575</xdr:rowOff>
                  </from>
                  <to>
                    <xdr:col>21</xdr:col>
                    <xdr:colOff>352425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17" name="Check Box 70">
              <controlPr defaultSize="0" print="0" autoFill="0" autoLine="0" autoPict="0">
                <anchor moveWithCells="1">
                  <from>
                    <xdr:col>19</xdr:col>
                    <xdr:colOff>123825</xdr:colOff>
                    <xdr:row>63</xdr:row>
                    <xdr:rowOff>38100</xdr:rowOff>
                  </from>
                  <to>
                    <xdr:col>19</xdr:col>
                    <xdr:colOff>342900</xdr:colOff>
                    <xdr:row>63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18" name="Check Box 73">
              <controlPr defaultSize="0" print="0" autoFill="0" autoLine="0" autoPict="0">
                <anchor moveWithCells="1">
                  <from>
                    <xdr:col>21</xdr:col>
                    <xdr:colOff>85725</xdr:colOff>
                    <xdr:row>63</xdr:row>
                    <xdr:rowOff>28575</xdr:rowOff>
                  </from>
                  <to>
                    <xdr:col>21</xdr:col>
                    <xdr:colOff>333375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19" name="Check Box 74">
              <controlPr defaultSize="0" print="0" autoFill="0" autoLine="0" autoPict="0">
                <anchor moveWithCells="1">
                  <from>
                    <xdr:col>19</xdr:col>
                    <xdr:colOff>104775</xdr:colOff>
                    <xdr:row>65</xdr:row>
                    <xdr:rowOff>28575</xdr:rowOff>
                  </from>
                  <to>
                    <xdr:col>19</xdr:col>
                    <xdr:colOff>314325</xdr:colOff>
                    <xdr:row>65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20" name="Check Box 75">
              <controlPr defaultSize="0" print="0" autoFill="0" autoLine="0" autoPict="0">
                <anchor moveWithCells="1">
                  <from>
                    <xdr:col>21</xdr:col>
                    <xdr:colOff>85725</xdr:colOff>
                    <xdr:row>65</xdr:row>
                    <xdr:rowOff>28575</xdr:rowOff>
                  </from>
                  <to>
                    <xdr:col>21</xdr:col>
                    <xdr:colOff>342900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21" name="Check Box 79">
              <controlPr defaultSize="0" print="0" autoFill="0" autoLine="0" autoPict="0">
                <anchor moveWithCells="1">
                  <from>
                    <xdr:col>1</xdr:col>
                    <xdr:colOff>114300</xdr:colOff>
                    <xdr:row>46</xdr:row>
                    <xdr:rowOff>276225</xdr:rowOff>
                  </from>
                  <to>
                    <xdr:col>1</xdr:col>
                    <xdr:colOff>428625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22" name="Check Box 80">
              <controlPr defaultSize="0" print="0" autoFill="0" autoLine="0" autoPict="0">
                <anchor moveWithCells="1">
                  <from>
                    <xdr:col>4</xdr:col>
                    <xdr:colOff>85725</xdr:colOff>
                    <xdr:row>46</xdr:row>
                    <xdr:rowOff>276225</xdr:rowOff>
                  </from>
                  <to>
                    <xdr:col>5</xdr:col>
                    <xdr:colOff>9525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23" name="Check Box 83">
              <controlPr defaultSize="0" print="0" autoFill="0" autoLine="0" autoPict="0">
                <anchor moveWithCells="1">
                  <from>
                    <xdr:col>12</xdr:col>
                    <xdr:colOff>142875</xdr:colOff>
                    <xdr:row>32</xdr:row>
                    <xdr:rowOff>28575</xdr:rowOff>
                  </from>
                  <to>
                    <xdr:col>12</xdr:col>
                    <xdr:colOff>352425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8" r:id="rId24" name="Check Box 84">
              <controlPr defaultSize="0" print="0" autoFill="0" autoLine="0" autoPict="0">
                <anchor moveWithCells="1">
                  <from>
                    <xdr:col>14</xdr:col>
                    <xdr:colOff>66675</xdr:colOff>
                    <xdr:row>32</xdr:row>
                    <xdr:rowOff>28575</xdr:rowOff>
                  </from>
                  <to>
                    <xdr:col>14</xdr:col>
                    <xdr:colOff>276225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F266B-C6E1-49E1-A669-017F6F8AFB71}">
  <sheetPr codeName="Sheet4">
    <tabColor theme="5" tint="-0.249977111117893"/>
    <pageSetUpPr fitToPage="1"/>
  </sheetPr>
  <dimension ref="A3:AH77"/>
  <sheetViews>
    <sheetView showGridLines="0" zoomScale="130" zoomScaleNormal="130" workbookViewId="0">
      <selection activeCell="A7" sqref="A7:X9"/>
    </sheetView>
  </sheetViews>
  <sheetFormatPr defaultColWidth="8.85546875" defaultRowHeight="12.75" x14ac:dyDescent="0.2"/>
  <cols>
    <col min="1" max="1" width="4.85546875" style="24" customWidth="1"/>
    <col min="2" max="2" width="6.85546875" style="24" customWidth="1"/>
    <col min="3" max="7" width="5.7109375" style="24" customWidth="1"/>
    <col min="8" max="8" width="10.85546875" style="24" customWidth="1"/>
    <col min="9" max="9" width="5.7109375" style="24" customWidth="1"/>
    <col min="10" max="10" width="6.140625" style="24" customWidth="1"/>
    <col min="11" max="11" width="7.140625" style="24" customWidth="1"/>
    <col min="12" max="12" width="5.7109375" style="24" customWidth="1"/>
    <col min="13" max="13" width="6.140625" style="24" customWidth="1"/>
    <col min="14" max="14" width="5.85546875" style="24" customWidth="1"/>
    <col min="15" max="17" width="5.7109375" style="24" customWidth="1"/>
    <col min="18" max="18" width="6.42578125" style="24" customWidth="1"/>
    <col min="19" max="19" width="5.7109375" style="24" customWidth="1"/>
    <col min="20" max="20" width="6.140625" style="24" customWidth="1"/>
    <col min="21" max="23" width="5.7109375" style="24" customWidth="1"/>
    <col min="24" max="24" width="5.85546875" style="24" customWidth="1"/>
    <col min="25" max="33" width="4.28515625" style="24" customWidth="1"/>
    <col min="34" max="16384" width="8.85546875" style="24"/>
  </cols>
  <sheetData>
    <row r="3" spans="1:34" ht="40.35" customHeight="1" x14ac:dyDescent="0.2">
      <c r="G3" s="25" t="s">
        <v>0</v>
      </c>
    </row>
    <row r="4" spans="1:34" ht="15.75" x14ac:dyDescent="0.25"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</row>
    <row r="5" spans="1:34" ht="22.5" x14ac:dyDescent="0.25">
      <c r="A5" s="27" t="s">
        <v>177</v>
      </c>
      <c r="Y5" s="26"/>
      <c r="Z5" s="26"/>
      <c r="AA5" s="26"/>
      <c r="AB5" s="26"/>
      <c r="AC5" s="26"/>
      <c r="AD5" s="26"/>
      <c r="AE5" s="26"/>
      <c r="AF5" s="26"/>
      <c r="AG5" s="26"/>
      <c r="AH5" s="26"/>
    </row>
    <row r="6" spans="1:34" ht="23.25" x14ac:dyDescent="0.25">
      <c r="A6" s="27" t="s">
        <v>178</v>
      </c>
      <c r="O6" s="263"/>
      <c r="P6" s="263"/>
      <c r="Q6" s="263"/>
      <c r="R6" s="263"/>
      <c r="S6" s="263"/>
      <c r="T6" s="263"/>
      <c r="U6" s="263"/>
      <c r="V6" s="263"/>
      <c r="W6" s="263"/>
      <c r="X6" s="263"/>
      <c r="Y6" s="26"/>
      <c r="Z6" s="26"/>
      <c r="AA6" s="26"/>
      <c r="AB6" s="26"/>
      <c r="AC6" s="26"/>
      <c r="AD6" s="26"/>
      <c r="AE6" s="26"/>
      <c r="AF6" s="26"/>
      <c r="AG6" s="26"/>
      <c r="AH6" s="26"/>
    </row>
    <row r="7" spans="1:34" ht="15.75" x14ac:dyDescent="0.25">
      <c r="A7" s="172" t="s">
        <v>435</v>
      </c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5"/>
      <c r="Y7" s="26"/>
      <c r="Z7" s="26"/>
      <c r="AA7" s="26"/>
      <c r="AB7" s="26"/>
      <c r="AC7" s="26"/>
      <c r="AD7" s="26"/>
      <c r="AE7" s="26"/>
      <c r="AF7" s="26"/>
      <c r="AG7" s="26"/>
      <c r="AH7" s="26"/>
    </row>
    <row r="8" spans="1:34" ht="15.75" x14ac:dyDescent="0.25">
      <c r="A8" s="166"/>
      <c r="B8" s="167"/>
      <c r="C8" s="167"/>
      <c r="D8" s="167"/>
      <c r="E8" s="167"/>
      <c r="F8" s="167"/>
      <c r="G8" s="167"/>
      <c r="H8" s="167"/>
      <c r="I8" s="167"/>
      <c r="J8" s="167"/>
      <c r="K8" s="167"/>
      <c r="L8" s="167"/>
      <c r="M8" s="167"/>
      <c r="N8" s="167"/>
      <c r="O8" s="167"/>
      <c r="P8" s="167"/>
      <c r="Q8" s="167"/>
      <c r="R8" s="167"/>
      <c r="S8" s="167"/>
      <c r="T8" s="167"/>
      <c r="U8" s="167"/>
      <c r="V8" s="167"/>
      <c r="W8" s="167"/>
      <c r="X8" s="168"/>
      <c r="Y8" s="26"/>
      <c r="Z8" s="26"/>
      <c r="AA8" s="26"/>
      <c r="AB8" s="26"/>
      <c r="AC8" s="26"/>
      <c r="AD8" s="26"/>
      <c r="AE8" s="26"/>
      <c r="AF8" s="26"/>
      <c r="AG8" s="26"/>
      <c r="AH8" s="26"/>
    </row>
    <row r="9" spans="1:34" ht="15.75" x14ac:dyDescent="0.25">
      <c r="A9" s="169"/>
      <c r="B9" s="170"/>
      <c r="C9" s="170"/>
      <c r="D9" s="170"/>
      <c r="E9" s="170"/>
      <c r="F9" s="170"/>
      <c r="G9" s="170"/>
      <c r="H9" s="170"/>
      <c r="I9" s="170"/>
      <c r="J9" s="170"/>
      <c r="K9" s="170"/>
      <c r="L9" s="170"/>
      <c r="M9" s="170"/>
      <c r="N9" s="170"/>
      <c r="O9" s="170"/>
      <c r="P9" s="170"/>
      <c r="Q9" s="170"/>
      <c r="R9" s="170"/>
      <c r="S9" s="170"/>
      <c r="T9" s="170"/>
      <c r="U9" s="170"/>
      <c r="V9" s="170"/>
      <c r="W9" s="170"/>
      <c r="X9" s="171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4" ht="30" x14ac:dyDescent="0.25">
      <c r="A10" s="40" t="s">
        <v>179</v>
      </c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4" ht="15.75" x14ac:dyDescent="0.25"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4" ht="15.75" x14ac:dyDescent="0.25"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4" ht="22.5" x14ac:dyDescent="0.25">
      <c r="A13" s="27" t="s">
        <v>180</v>
      </c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4" ht="25.5" x14ac:dyDescent="0.25">
      <c r="D14" s="37" t="s">
        <v>181</v>
      </c>
      <c r="K14" s="121" t="str">
        <f>IF(CONTROLS!D21=TRUE,"P","")</f>
        <v/>
      </c>
      <c r="L14" s="37" t="s">
        <v>182</v>
      </c>
      <c r="M14" s="37"/>
      <c r="N14" s="37"/>
      <c r="O14" s="121" t="str">
        <f>IF(CONTROLS!D22=TRUE,"P","")</f>
        <v/>
      </c>
      <c r="P14" s="37" t="s">
        <v>183</v>
      </c>
      <c r="Q14" s="37"/>
      <c r="R14" s="37"/>
      <c r="S14" s="121" t="str">
        <f>IF(CONTROLS!D23=TRUE,"P","")</f>
        <v/>
      </c>
      <c r="T14" s="37" t="s">
        <v>184</v>
      </c>
      <c r="U14" s="37"/>
      <c r="V14" s="37"/>
      <c r="W14" s="37"/>
      <c r="X14" s="37"/>
      <c r="Y14" s="26"/>
      <c r="Z14" s="26"/>
      <c r="AA14" s="26"/>
      <c r="AB14" s="26"/>
      <c r="AC14" s="26"/>
      <c r="AD14" s="26"/>
      <c r="AE14" s="26"/>
      <c r="AF14" s="26"/>
      <c r="AG14" s="26"/>
      <c r="AH14" s="26"/>
    </row>
    <row r="15" spans="1:34" ht="19.5" x14ac:dyDescent="0.3">
      <c r="D15" s="263" t="s">
        <v>185</v>
      </c>
      <c r="E15" s="263"/>
      <c r="F15" s="263"/>
      <c r="G15" s="263"/>
      <c r="H15" s="263"/>
      <c r="I15" s="263"/>
      <c r="J15" s="263"/>
      <c r="K15" s="263"/>
      <c r="L15" s="263"/>
      <c r="M15" s="212"/>
      <c r="N15" s="212"/>
      <c r="O15" s="212"/>
      <c r="P15" s="212"/>
      <c r="Q15" s="212"/>
      <c r="R15" s="212"/>
      <c r="S15" s="212"/>
      <c r="T15" s="212"/>
      <c r="U15" s="212"/>
      <c r="V15" s="212"/>
      <c r="W15" s="212"/>
      <c r="X15" s="212"/>
      <c r="Y15" s="26"/>
      <c r="Z15" s="26"/>
      <c r="AA15" s="26"/>
      <c r="AB15" s="26"/>
      <c r="AC15" s="26"/>
      <c r="AD15" s="26"/>
      <c r="AE15" s="26"/>
      <c r="AF15" s="26"/>
      <c r="AG15" s="26"/>
      <c r="AH15" s="26"/>
    </row>
    <row r="16" spans="1:34" ht="19.5" x14ac:dyDescent="0.3">
      <c r="D16" s="263" t="s">
        <v>186</v>
      </c>
      <c r="E16" s="263"/>
      <c r="F16" s="263"/>
      <c r="G16" s="263"/>
      <c r="H16" s="263"/>
      <c r="I16" s="263"/>
      <c r="J16" s="263"/>
      <c r="K16" s="263"/>
      <c r="L16" s="263"/>
      <c r="M16" s="263"/>
      <c r="N16" s="263"/>
      <c r="O16" s="263"/>
      <c r="P16" s="263"/>
      <c r="Q16" s="212"/>
      <c r="R16" s="212"/>
      <c r="S16" s="212"/>
      <c r="T16" s="212"/>
      <c r="U16" s="212"/>
      <c r="V16" s="212"/>
      <c r="W16" s="212"/>
      <c r="X16" s="212"/>
      <c r="Y16" s="26"/>
      <c r="Z16" s="26"/>
      <c r="AA16" s="26"/>
      <c r="AB16" s="26"/>
      <c r="AC16" s="26"/>
      <c r="AD16" s="26"/>
      <c r="AE16" s="26"/>
      <c r="AF16" s="26"/>
      <c r="AG16" s="26"/>
      <c r="AH16" s="26"/>
    </row>
    <row r="17" spans="1:34" ht="22.5" x14ac:dyDescent="0.25">
      <c r="A17" s="27" t="str">
        <f>IF(CONTROLS!P1&gt;0,"20.For ISO 14001Certification only:","")</f>
        <v/>
      </c>
      <c r="Y17" s="26"/>
      <c r="Z17" s="26"/>
      <c r="AA17" s="26"/>
      <c r="AB17" s="26"/>
      <c r="AC17" s="26"/>
      <c r="AD17" s="26"/>
      <c r="AE17" s="26"/>
      <c r="AF17" s="26"/>
      <c r="AG17" s="26"/>
      <c r="AH17" s="26"/>
    </row>
    <row r="18" spans="1:34" ht="22.5" x14ac:dyDescent="0.25">
      <c r="A18" s="106">
        <f>IF(AND(IF('CP-1'!N13="P",1,"")=1,C19=""),"",1)</f>
        <v>1</v>
      </c>
      <c r="B18" s="41" t="str">
        <f>IF(CONTROLS!P1&gt;0,"  Describe the three important significant environmental aspects","")</f>
        <v/>
      </c>
      <c r="Y18" s="26"/>
      <c r="Z18" s="26"/>
      <c r="AA18" s="26"/>
      <c r="AB18" s="26"/>
      <c r="AC18" s="26"/>
      <c r="AD18" s="26"/>
      <c r="AE18" s="26"/>
      <c r="AF18" s="26"/>
      <c r="AG18" s="26"/>
      <c r="AH18" s="26"/>
    </row>
    <row r="19" spans="1:34" ht="15.75" x14ac:dyDescent="0.25">
      <c r="C19" s="167"/>
      <c r="D19" s="167"/>
      <c r="E19" s="167"/>
      <c r="F19" s="167"/>
      <c r="G19" s="167"/>
      <c r="H19" s="167"/>
      <c r="I19" s="167"/>
      <c r="J19" s="167"/>
      <c r="K19" s="167"/>
      <c r="L19" s="167"/>
      <c r="M19" s="167"/>
      <c r="N19" s="167"/>
      <c r="O19" s="167"/>
      <c r="P19" s="167"/>
      <c r="Q19" s="167"/>
      <c r="R19" s="167"/>
      <c r="S19" s="167"/>
      <c r="T19" s="167"/>
      <c r="U19" s="167"/>
      <c r="V19" s="167"/>
      <c r="W19" s="167"/>
      <c r="X19" s="167"/>
      <c r="Y19" s="26"/>
      <c r="Z19" s="26"/>
      <c r="AA19" s="26"/>
      <c r="AB19" s="26"/>
      <c r="AC19" s="26"/>
      <c r="AD19" s="26"/>
      <c r="AE19" s="26"/>
      <c r="AF19" s="26"/>
      <c r="AG19" s="26"/>
      <c r="AH19" s="26"/>
    </row>
    <row r="20" spans="1:34" ht="15.75" x14ac:dyDescent="0.25">
      <c r="C20" s="167"/>
      <c r="D20" s="167"/>
      <c r="E20" s="167"/>
      <c r="F20" s="167"/>
      <c r="G20" s="167"/>
      <c r="H20" s="167"/>
      <c r="I20" s="167"/>
      <c r="J20" s="167"/>
      <c r="K20" s="167"/>
      <c r="L20" s="167"/>
      <c r="M20" s="167"/>
      <c r="N20" s="167"/>
      <c r="O20" s="167"/>
      <c r="P20" s="167"/>
      <c r="Q20" s="167"/>
      <c r="R20" s="167"/>
      <c r="S20" s="167"/>
      <c r="T20" s="167"/>
      <c r="U20" s="167"/>
      <c r="V20" s="167"/>
      <c r="W20" s="167"/>
      <c r="X20" s="167"/>
      <c r="Y20" s="26"/>
      <c r="Z20" s="26"/>
      <c r="AA20" s="26"/>
      <c r="AB20" s="26"/>
      <c r="AC20" s="26"/>
      <c r="AD20" s="26"/>
      <c r="AE20" s="26"/>
      <c r="AF20" s="26"/>
      <c r="AG20" s="26"/>
      <c r="AH20" s="26"/>
    </row>
    <row r="21" spans="1:34" ht="15.75" x14ac:dyDescent="0.25">
      <c r="C21" s="167"/>
      <c r="D21" s="167"/>
      <c r="E21" s="167"/>
      <c r="F21" s="167"/>
      <c r="G21" s="167"/>
      <c r="H21" s="167"/>
      <c r="I21" s="167"/>
      <c r="J21" s="167"/>
      <c r="K21" s="167"/>
      <c r="L21" s="167"/>
      <c r="M21" s="167"/>
      <c r="N21" s="167"/>
      <c r="O21" s="167"/>
      <c r="P21" s="167"/>
      <c r="Q21" s="167"/>
      <c r="R21" s="167"/>
      <c r="S21" s="167"/>
      <c r="T21" s="167"/>
      <c r="U21" s="167"/>
      <c r="V21" s="167"/>
      <c r="W21" s="167"/>
      <c r="X21" s="167"/>
      <c r="Y21" s="26"/>
      <c r="Z21" s="26"/>
      <c r="AA21" s="26"/>
      <c r="AB21" s="26"/>
      <c r="AC21" s="26"/>
      <c r="AD21" s="26"/>
      <c r="AE21" s="26"/>
      <c r="AF21" s="26"/>
      <c r="AG21" s="26"/>
      <c r="AH21" s="26"/>
    </row>
    <row r="22" spans="1:34" ht="15.75" x14ac:dyDescent="0.25">
      <c r="C22" s="167"/>
      <c r="D22" s="167"/>
      <c r="E22" s="167"/>
      <c r="F22" s="167"/>
      <c r="G22" s="167"/>
      <c r="H22" s="167"/>
      <c r="I22" s="167"/>
      <c r="J22" s="167"/>
      <c r="K22" s="167"/>
      <c r="L22" s="167"/>
      <c r="M22" s="167"/>
      <c r="N22" s="167"/>
      <c r="O22" s="167"/>
      <c r="P22" s="167"/>
      <c r="Q22" s="167"/>
      <c r="R22" s="167"/>
      <c r="S22" s="167"/>
      <c r="T22" s="167"/>
      <c r="U22" s="167"/>
      <c r="V22" s="167"/>
      <c r="W22" s="167"/>
      <c r="X22" s="167"/>
      <c r="Y22" s="26"/>
      <c r="Z22" s="26"/>
      <c r="AA22" s="26"/>
      <c r="AB22" s="26"/>
      <c r="AC22" s="26"/>
      <c r="AD22" s="26"/>
      <c r="AE22" s="26"/>
      <c r="AF22" s="26"/>
      <c r="AG22" s="26"/>
      <c r="AH22" s="26"/>
    </row>
    <row r="23" spans="1:34" ht="15.75" x14ac:dyDescent="0.25">
      <c r="C23" s="167"/>
      <c r="D23" s="167"/>
      <c r="E23" s="167"/>
      <c r="F23" s="167"/>
      <c r="G23" s="167"/>
      <c r="H23" s="167"/>
      <c r="I23" s="167"/>
      <c r="J23" s="167"/>
      <c r="K23" s="167"/>
      <c r="L23" s="167"/>
      <c r="M23" s="167"/>
      <c r="N23" s="167"/>
      <c r="O23" s="167"/>
      <c r="P23" s="167"/>
      <c r="Q23" s="167"/>
      <c r="R23" s="167"/>
      <c r="S23" s="167"/>
      <c r="T23" s="167"/>
      <c r="U23" s="167"/>
      <c r="V23" s="167"/>
      <c r="W23" s="167"/>
      <c r="X23" s="167"/>
      <c r="Y23" s="26"/>
      <c r="Z23" s="26"/>
      <c r="AA23" s="26"/>
      <c r="AB23" s="26"/>
      <c r="AC23" s="26"/>
      <c r="AD23" s="26"/>
      <c r="AE23" s="26"/>
      <c r="AF23" s="26"/>
      <c r="AG23" s="26"/>
      <c r="AH23" s="26"/>
    </row>
    <row r="24" spans="1:34" ht="15.75" x14ac:dyDescent="0.25">
      <c r="C24" s="167"/>
      <c r="D24" s="167"/>
      <c r="E24" s="167"/>
      <c r="F24" s="167"/>
      <c r="G24" s="167"/>
      <c r="H24" s="167"/>
      <c r="I24" s="167"/>
      <c r="J24" s="167"/>
      <c r="K24" s="167"/>
      <c r="L24" s="167"/>
      <c r="M24" s="167"/>
      <c r="N24" s="167"/>
      <c r="O24" s="167"/>
      <c r="P24" s="167"/>
      <c r="Q24" s="167"/>
      <c r="R24" s="167"/>
      <c r="S24" s="167"/>
      <c r="T24" s="167"/>
      <c r="U24" s="167"/>
      <c r="V24" s="167"/>
      <c r="W24" s="167"/>
      <c r="X24" s="167"/>
      <c r="Y24" s="26"/>
      <c r="Z24" s="26"/>
      <c r="AA24" s="26"/>
      <c r="AB24" s="26"/>
      <c r="AC24" s="26"/>
      <c r="AD24" s="26"/>
      <c r="AE24" s="26"/>
      <c r="AF24" s="26"/>
      <c r="AG24" s="26"/>
      <c r="AH24" s="26"/>
    </row>
    <row r="25" spans="1:34" ht="15.75" x14ac:dyDescent="0.25">
      <c r="C25" s="167"/>
      <c r="D25" s="167"/>
      <c r="E25" s="167"/>
      <c r="F25" s="167"/>
      <c r="G25" s="167"/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26"/>
      <c r="Z25" s="26"/>
      <c r="AA25" s="26"/>
      <c r="AB25" s="26"/>
      <c r="AC25" s="26"/>
      <c r="AD25" s="26"/>
      <c r="AE25" s="26"/>
      <c r="AF25" s="26"/>
      <c r="AG25" s="26"/>
      <c r="AH25" s="26"/>
    </row>
    <row r="26" spans="1:34" ht="15.75" x14ac:dyDescent="0.25">
      <c r="C26" s="167"/>
      <c r="D26" s="167"/>
      <c r="E26" s="167"/>
      <c r="F26" s="167"/>
      <c r="G26" s="167"/>
      <c r="H26" s="167"/>
      <c r="I26" s="167"/>
      <c r="J26" s="167"/>
      <c r="K26" s="167"/>
      <c r="L26" s="167"/>
      <c r="M26" s="167"/>
      <c r="N26" s="167"/>
      <c r="O26" s="167"/>
      <c r="P26" s="167"/>
      <c r="Q26" s="167"/>
      <c r="R26" s="167"/>
      <c r="S26" s="167"/>
      <c r="T26" s="167"/>
      <c r="U26" s="167"/>
      <c r="V26" s="167"/>
      <c r="W26" s="167"/>
      <c r="X26" s="167"/>
      <c r="Y26" s="26"/>
      <c r="Z26" s="26"/>
      <c r="AA26" s="26"/>
      <c r="AB26" s="26"/>
      <c r="AC26" s="26"/>
      <c r="AD26" s="26"/>
      <c r="AE26" s="26"/>
      <c r="AF26" s="26"/>
      <c r="AG26" s="26"/>
      <c r="AH26" s="26"/>
    </row>
    <row r="27" spans="1:34" ht="15.75" x14ac:dyDescent="0.25"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</row>
    <row r="28" spans="1:34" ht="15.75" x14ac:dyDescent="0.25"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</row>
    <row r="29" spans="1:34" ht="24.6" customHeight="1" x14ac:dyDescent="0.2">
      <c r="A29" s="107">
        <f>IF(AND(IF('CP-1'!N13="P",1,"")=1,B30=""),"",1)</f>
        <v>1</v>
      </c>
      <c r="B29" s="42" t="str">
        <f>IF(CONTROLS!P1&gt;0,"Identify the three most significant environmental impacts and objectives:","")</f>
        <v/>
      </c>
    </row>
    <row r="30" spans="1:34" ht="13.35" customHeight="1" x14ac:dyDescent="0.2"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167"/>
      <c r="M30" s="167"/>
      <c r="N30" s="167"/>
      <c r="O30" s="167"/>
      <c r="P30" s="167"/>
      <c r="Q30" s="167"/>
      <c r="R30" s="167"/>
      <c r="S30" s="167"/>
      <c r="T30" s="167"/>
      <c r="U30" s="167"/>
      <c r="V30" s="167"/>
      <c r="W30" s="167"/>
      <c r="X30" s="167"/>
    </row>
    <row r="31" spans="1:34" ht="13.35" customHeight="1" x14ac:dyDescent="0.2">
      <c r="B31" s="167"/>
      <c r="C31" s="167"/>
      <c r="D31" s="167"/>
      <c r="E31" s="167"/>
      <c r="F31" s="167"/>
      <c r="G31" s="167"/>
      <c r="H31" s="167"/>
      <c r="I31" s="167"/>
      <c r="J31" s="167"/>
      <c r="K31" s="167"/>
      <c r="L31" s="167"/>
      <c r="M31" s="167"/>
      <c r="N31" s="167"/>
      <c r="O31" s="167"/>
      <c r="P31" s="167"/>
      <c r="Q31" s="167"/>
      <c r="R31" s="167"/>
      <c r="S31" s="167"/>
      <c r="T31" s="167"/>
      <c r="U31" s="167"/>
      <c r="V31" s="167"/>
      <c r="W31" s="167"/>
      <c r="X31" s="167"/>
    </row>
    <row r="32" spans="1:34" ht="13.35" customHeight="1" x14ac:dyDescent="0.2">
      <c r="B32" s="167"/>
      <c r="C32" s="167"/>
      <c r="D32" s="167"/>
      <c r="E32" s="167"/>
      <c r="F32" s="167"/>
      <c r="G32" s="167"/>
      <c r="H32" s="167"/>
      <c r="I32" s="167"/>
      <c r="J32" s="167"/>
      <c r="K32" s="167"/>
      <c r="L32" s="167"/>
      <c r="M32" s="167"/>
      <c r="N32" s="167"/>
      <c r="O32" s="167"/>
      <c r="P32" s="167"/>
      <c r="Q32" s="167"/>
      <c r="R32" s="167"/>
      <c r="S32" s="167"/>
      <c r="T32" s="167"/>
      <c r="U32" s="167"/>
      <c r="V32" s="167"/>
      <c r="W32" s="167"/>
      <c r="X32" s="167"/>
    </row>
    <row r="33" spans="1:24" ht="13.35" customHeight="1" x14ac:dyDescent="0.2">
      <c r="B33" s="167"/>
      <c r="C33" s="167"/>
      <c r="D33" s="167"/>
      <c r="E33" s="167"/>
      <c r="F33" s="167"/>
      <c r="G33" s="167"/>
      <c r="H33" s="167"/>
      <c r="I33" s="167"/>
      <c r="J33" s="167"/>
      <c r="K33" s="167"/>
      <c r="L33" s="167"/>
      <c r="M33" s="167"/>
      <c r="N33" s="167"/>
      <c r="O33" s="167"/>
      <c r="P33" s="167"/>
      <c r="Q33" s="167"/>
      <c r="R33" s="167"/>
      <c r="S33" s="167"/>
      <c r="T33" s="167"/>
      <c r="U33" s="167"/>
      <c r="V33" s="167"/>
      <c r="W33" s="167"/>
      <c r="X33" s="167"/>
    </row>
    <row r="34" spans="1:24" ht="13.35" customHeight="1" x14ac:dyDescent="0.2">
      <c r="B34" s="167"/>
      <c r="C34" s="167"/>
      <c r="D34" s="167"/>
      <c r="E34" s="167"/>
      <c r="F34" s="167"/>
      <c r="G34" s="167"/>
      <c r="H34" s="167"/>
      <c r="I34" s="167"/>
      <c r="J34" s="167"/>
      <c r="K34" s="167"/>
      <c r="L34" s="167"/>
      <c r="M34" s="167"/>
      <c r="N34" s="167"/>
      <c r="O34" s="167"/>
      <c r="P34" s="167"/>
      <c r="Q34" s="167"/>
      <c r="R34" s="167"/>
      <c r="S34" s="167"/>
      <c r="T34" s="167"/>
      <c r="U34" s="167"/>
      <c r="V34" s="167"/>
      <c r="W34" s="167"/>
      <c r="X34" s="167"/>
    </row>
    <row r="35" spans="1:24" ht="13.35" customHeight="1" x14ac:dyDescent="0.2">
      <c r="B35" s="167"/>
      <c r="C35" s="167"/>
      <c r="D35" s="167"/>
      <c r="E35" s="167"/>
      <c r="F35" s="167"/>
      <c r="G35" s="167"/>
      <c r="H35" s="167"/>
      <c r="I35" s="167"/>
      <c r="J35" s="167"/>
      <c r="K35" s="167"/>
      <c r="L35" s="167"/>
      <c r="M35" s="167"/>
      <c r="N35" s="167"/>
      <c r="O35" s="167"/>
      <c r="P35" s="167"/>
      <c r="Q35" s="167"/>
      <c r="R35" s="167"/>
      <c r="S35" s="167"/>
      <c r="T35" s="167"/>
      <c r="U35" s="167"/>
      <c r="V35" s="167"/>
      <c r="W35" s="167"/>
      <c r="X35" s="167"/>
    </row>
    <row r="36" spans="1:24" ht="13.35" customHeight="1" x14ac:dyDescent="0.2">
      <c r="B36" s="167"/>
      <c r="C36" s="167"/>
      <c r="D36" s="167"/>
      <c r="E36" s="167"/>
      <c r="F36" s="167"/>
      <c r="G36" s="167"/>
      <c r="H36" s="167"/>
      <c r="I36" s="167"/>
      <c r="J36" s="167"/>
      <c r="K36" s="167"/>
      <c r="L36" s="167"/>
      <c r="M36" s="167"/>
      <c r="N36" s="167"/>
      <c r="O36" s="167"/>
      <c r="P36" s="167"/>
      <c r="Q36" s="167"/>
      <c r="R36" s="167"/>
      <c r="S36" s="167"/>
      <c r="T36" s="167"/>
      <c r="U36" s="167"/>
      <c r="V36" s="167"/>
      <c r="W36" s="167"/>
      <c r="X36" s="167"/>
    </row>
    <row r="37" spans="1:24" ht="13.35" customHeight="1" x14ac:dyDescent="0.2">
      <c r="B37" s="167"/>
      <c r="C37" s="167"/>
      <c r="D37" s="167"/>
      <c r="E37" s="167"/>
      <c r="F37" s="167"/>
      <c r="G37" s="167"/>
      <c r="H37" s="167"/>
      <c r="I37" s="167"/>
      <c r="J37" s="167"/>
      <c r="K37" s="167"/>
      <c r="L37" s="167"/>
      <c r="M37" s="167"/>
      <c r="N37" s="167"/>
      <c r="O37" s="167"/>
      <c r="P37" s="167"/>
      <c r="Q37" s="167"/>
      <c r="R37" s="167"/>
      <c r="S37" s="167"/>
      <c r="T37" s="167"/>
      <c r="U37" s="167"/>
      <c r="V37" s="167"/>
      <c r="W37" s="167"/>
      <c r="X37" s="167"/>
    </row>
    <row r="38" spans="1:24" ht="13.35" customHeight="1" x14ac:dyDescent="0.2"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</row>
    <row r="39" spans="1:24" ht="13.35" customHeight="1" x14ac:dyDescent="0.2"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</row>
    <row r="40" spans="1:24" ht="13.35" customHeight="1" x14ac:dyDescent="0.2">
      <c r="B40" s="167"/>
      <c r="C40" s="167"/>
      <c r="D40" s="167"/>
      <c r="E40" s="167"/>
      <c r="F40" s="167"/>
      <c r="G40" s="167"/>
      <c r="H40" s="167"/>
      <c r="I40" s="167"/>
      <c r="J40" s="167"/>
      <c r="K40" s="167"/>
      <c r="L40" s="167"/>
      <c r="M40" s="167"/>
      <c r="N40" s="167"/>
      <c r="O40" s="167"/>
      <c r="P40" s="167"/>
      <c r="Q40" s="167"/>
      <c r="R40" s="167"/>
      <c r="S40" s="167"/>
      <c r="T40" s="167"/>
      <c r="U40" s="167"/>
      <c r="V40" s="167"/>
      <c r="W40" s="167"/>
      <c r="X40" s="167"/>
    </row>
    <row r="41" spans="1:24" ht="13.35" customHeight="1" x14ac:dyDescent="0.2">
      <c r="B41" s="167"/>
      <c r="C41" s="167"/>
      <c r="D41" s="167"/>
      <c r="E41" s="167"/>
      <c r="F41" s="167"/>
      <c r="G41" s="167"/>
      <c r="H41" s="167"/>
      <c r="I41" s="167"/>
      <c r="J41" s="167"/>
      <c r="K41" s="167"/>
      <c r="L41" s="167"/>
      <c r="M41" s="167"/>
      <c r="N41" s="167"/>
      <c r="O41" s="167"/>
      <c r="P41" s="167"/>
      <c r="Q41" s="167"/>
      <c r="R41" s="167"/>
      <c r="S41" s="167"/>
      <c r="T41" s="167"/>
      <c r="U41" s="167"/>
      <c r="V41" s="167"/>
      <c r="W41" s="167"/>
      <c r="X41" s="167"/>
    </row>
    <row r="43" spans="1:24" ht="25.5" x14ac:dyDescent="0.3">
      <c r="A43" s="43" t="str">
        <f>IF(CONTROLS!P2&gt;0,"21. For ISO 45001 Certification only:","")</f>
        <v/>
      </c>
      <c r="R43" s="101"/>
      <c r="S43" s="101"/>
      <c r="T43" s="101"/>
      <c r="U43" s="101"/>
      <c r="V43" s="101"/>
      <c r="W43" s="101"/>
      <c r="X43" s="101"/>
    </row>
    <row r="44" spans="1:24" ht="19.7" customHeight="1" x14ac:dyDescent="0.2">
      <c r="A44" s="106">
        <f>IF(AND(IF('CP-1'!I13="P",1,"")=1,B45=""),"",1)</f>
        <v>1</v>
      </c>
      <c r="B44" s="261" t="str">
        <f>IF(CONTROLS!P2&gt;0,"Identify the three key Occupational Health and Safety Hazards: ","")</f>
        <v/>
      </c>
      <c r="C44" s="261"/>
      <c r="D44" s="261"/>
      <c r="E44" s="261"/>
      <c r="F44" s="261"/>
      <c r="G44" s="261"/>
      <c r="H44" s="261"/>
      <c r="I44" s="261"/>
      <c r="J44" s="261"/>
      <c r="K44" s="261"/>
      <c r="L44" s="261"/>
      <c r="M44" s="261"/>
      <c r="N44" s="261"/>
      <c r="O44" s="261"/>
      <c r="P44" s="261"/>
      <c r="Q44" s="261"/>
      <c r="R44" s="262"/>
      <c r="S44" s="262"/>
      <c r="T44" s="262"/>
      <c r="U44" s="262"/>
      <c r="V44" s="262"/>
      <c r="W44" s="262"/>
      <c r="X44" s="262"/>
    </row>
    <row r="45" spans="1:24" ht="13.35" customHeight="1" x14ac:dyDescent="0.2">
      <c r="B45" s="167"/>
      <c r="C45" s="167"/>
      <c r="D45" s="167"/>
      <c r="E45" s="167"/>
      <c r="F45" s="167"/>
      <c r="G45" s="167"/>
      <c r="H45" s="167"/>
      <c r="I45" s="167"/>
      <c r="J45" s="167"/>
      <c r="K45" s="167"/>
      <c r="L45" s="167"/>
      <c r="M45" s="167"/>
      <c r="N45" s="167"/>
      <c r="O45" s="167"/>
      <c r="P45" s="167"/>
      <c r="Q45" s="167"/>
      <c r="R45" s="167"/>
      <c r="S45" s="167"/>
      <c r="T45" s="167"/>
      <c r="U45" s="167"/>
      <c r="V45" s="167"/>
      <c r="W45" s="167"/>
      <c r="X45" s="167"/>
    </row>
    <row r="46" spans="1:24" ht="13.35" customHeight="1" x14ac:dyDescent="0.2">
      <c r="B46" s="167"/>
      <c r="C46" s="167"/>
      <c r="D46" s="167"/>
      <c r="E46" s="167"/>
      <c r="F46" s="167"/>
      <c r="G46" s="167"/>
      <c r="H46" s="167"/>
      <c r="I46" s="167"/>
      <c r="J46" s="167"/>
      <c r="K46" s="167"/>
      <c r="L46" s="167"/>
      <c r="M46" s="167"/>
      <c r="N46" s="167"/>
      <c r="O46" s="167"/>
      <c r="P46" s="167"/>
      <c r="Q46" s="167"/>
      <c r="R46" s="167"/>
      <c r="S46" s="167"/>
      <c r="T46" s="167"/>
      <c r="U46" s="167"/>
      <c r="V46" s="167"/>
      <c r="W46" s="167"/>
      <c r="X46" s="167"/>
    </row>
    <row r="47" spans="1:24" ht="13.35" customHeight="1" x14ac:dyDescent="0.2">
      <c r="B47" s="167"/>
      <c r="C47" s="167"/>
      <c r="D47" s="167"/>
      <c r="E47" s="167"/>
      <c r="F47" s="167"/>
      <c r="G47" s="167"/>
      <c r="H47" s="167"/>
      <c r="I47" s="167"/>
      <c r="J47" s="167"/>
      <c r="K47" s="167"/>
      <c r="L47" s="167"/>
      <c r="M47" s="167"/>
      <c r="N47" s="167"/>
      <c r="O47" s="167"/>
      <c r="P47" s="167"/>
      <c r="Q47" s="167"/>
      <c r="R47" s="167"/>
      <c r="S47" s="167"/>
      <c r="T47" s="167"/>
      <c r="U47" s="167"/>
      <c r="V47" s="167"/>
      <c r="W47" s="167"/>
      <c r="X47" s="167"/>
    </row>
    <row r="48" spans="1:24" ht="13.35" customHeight="1" x14ac:dyDescent="0.2">
      <c r="B48" s="167"/>
      <c r="C48" s="167"/>
      <c r="D48" s="167"/>
      <c r="E48" s="167"/>
      <c r="F48" s="167"/>
      <c r="G48" s="167"/>
      <c r="H48" s="167"/>
      <c r="I48" s="167"/>
      <c r="J48" s="167"/>
      <c r="K48" s="167"/>
      <c r="L48" s="167"/>
      <c r="M48" s="167"/>
      <c r="N48" s="167"/>
      <c r="O48" s="167"/>
      <c r="P48" s="167"/>
      <c r="Q48" s="167"/>
      <c r="R48" s="167"/>
      <c r="S48" s="167"/>
      <c r="T48" s="167"/>
      <c r="U48" s="167"/>
      <c r="V48" s="167"/>
      <c r="W48" s="167"/>
      <c r="X48" s="167"/>
    </row>
    <row r="49" spans="1:24" ht="13.35" customHeight="1" x14ac:dyDescent="0.2">
      <c r="B49" s="167"/>
      <c r="C49" s="167"/>
      <c r="D49" s="167"/>
      <c r="E49" s="167"/>
      <c r="F49" s="167"/>
      <c r="G49" s="167"/>
      <c r="H49" s="167"/>
      <c r="I49" s="167"/>
      <c r="J49" s="167"/>
      <c r="K49" s="167"/>
      <c r="L49" s="167"/>
      <c r="M49" s="167"/>
      <c r="N49" s="167"/>
      <c r="O49" s="167"/>
      <c r="P49" s="167"/>
      <c r="Q49" s="167"/>
      <c r="R49" s="167"/>
      <c r="S49" s="167"/>
      <c r="T49" s="167"/>
      <c r="U49" s="167"/>
      <c r="V49" s="167"/>
      <c r="W49" s="167"/>
      <c r="X49" s="167"/>
    </row>
    <row r="50" spans="1:24" ht="13.35" customHeight="1" x14ac:dyDescent="0.2">
      <c r="B50" s="167"/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</row>
    <row r="51" spans="1:24" ht="13.35" customHeight="1" x14ac:dyDescent="0.2">
      <c r="B51" s="167"/>
      <c r="C51" s="167"/>
      <c r="D51" s="167"/>
      <c r="E51" s="167"/>
      <c r="F51" s="167"/>
      <c r="G51" s="167"/>
      <c r="H51" s="167"/>
      <c r="I51" s="167"/>
      <c r="J51" s="167"/>
      <c r="K51" s="167"/>
      <c r="L51" s="167"/>
      <c r="M51" s="167"/>
      <c r="N51" s="167"/>
      <c r="O51" s="167"/>
      <c r="P51" s="167"/>
      <c r="Q51" s="167"/>
      <c r="R51" s="167"/>
      <c r="S51" s="167"/>
      <c r="T51" s="167"/>
      <c r="U51" s="167"/>
      <c r="V51" s="167"/>
      <c r="W51" s="167"/>
      <c r="X51" s="167"/>
    </row>
    <row r="52" spans="1:24" ht="13.35" customHeight="1" x14ac:dyDescent="0.2">
      <c r="B52" s="167"/>
      <c r="C52" s="167"/>
      <c r="D52" s="167"/>
      <c r="E52" s="167"/>
      <c r="F52" s="167"/>
      <c r="G52" s="167"/>
      <c r="H52" s="167"/>
      <c r="I52" s="167"/>
      <c r="J52" s="167"/>
      <c r="K52" s="167"/>
      <c r="L52" s="167"/>
      <c r="M52" s="167"/>
      <c r="N52" s="167"/>
      <c r="O52" s="167"/>
      <c r="P52" s="167"/>
      <c r="Q52" s="167"/>
      <c r="R52" s="167"/>
      <c r="S52" s="167"/>
      <c r="T52" s="167"/>
      <c r="U52" s="167"/>
      <c r="V52" s="167"/>
      <c r="W52" s="167"/>
      <c r="X52" s="167"/>
    </row>
    <row r="53" spans="1:24" ht="13.35" customHeight="1" x14ac:dyDescent="0.2">
      <c r="B53" s="167"/>
      <c r="C53" s="167"/>
      <c r="D53" s="167"/>
      <c r="E53" s="167"/>
      <c r="F53" s="167"/>
      <c r="G53" s="167"/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7"/>
      <c r="S53" s="167"/>
      <c r="T53" s="167"/>
      <c r="U53" s="167"/>
      <c r="V53" s="167"/>
      <c r="W53" s="167"/>
      <c r="X53" s="167"/>
    </row>
    <row r="54" spans="1:24" ht="13.35" customHeight="1" x14ac:dyDescent="0.2">
      <c r="B54" s="167"/>
      <c r="C54" s="167"/>
      <c r="D54" s="167"/>
      <c r="E54" s="167"/>
      <c r="F54" s="167"/>
      <c r="G54" s="167"/>
      <c r="H54" s="167"/>
      <c r="I54" s="167"/>
      <c r="J54" s="167"/>
      <c r="K54" s="167"/>
      <c r="L54" s="167"/>
      <c r="M54" s="167"/>
      <c r="N54" s="167"/>
      <c r="O54" s="167"/>
      <c r="P54" s="167"/>
      <c r="Q54" s="167"/>
      <c r="R54" s="167"/>
      <c r="S54" s="167"/>
      <c r="T54" s="167"/>
      <c r="U54" s="167"/>
      <c r="V54" s="167"/>
      <c r="W54" s="167"/>
      <c r="X54" s="167"/>
    </row>
    <row r="55" spans="1:24" ht="13.35" customHeight="1" x14ac:dyDescent="0.2">
      <c r="B55" s="167"/>
      <c r="C55" s="167"/>
      <c r="D55" s="167"/>
      <c r="E55" s="167"/>
      <c r="F55" s="167"/>
      <c r="G55" s="167"/>
      <c r="H55" s="167"/>
      <c r="I55" s="167"/>
      <c r="J55" s="167"/>
      <c r="K55" s="167"/>
      <c r="L55" s="167"/>
      <c r="M55" s="167"/>
      <c r="N55" s="167"/>
      <c r="O55" s="167"/>
      <c r="P55" s="167"/>
      <c r="Q55" s="167"/>
      <c r="R55" s="167"/>
      <c r="S55" s="167"/>
      <c r="T55" s="167"/>
      <c r="U55" s="167"/>
      <c r="V55" s="167"/>
      <c r="W55" s="167"/>
      <c r="X55" s="167"/>
    </row>
    <row r="56" spans="1:24" ht="20.45" customHeight="1" x14ac:dyDescent="0.2">
      <c r="B56" s="261" t="str">
        <f>IF(CONTROLS!P2&gt;0,"Identify the three most significant Occupational Health &amp; Safety Risks:","")</f>
        <v/>
      </c>
      <c r="C56" s="261"/>
      <c r="D56" s="261"/>
      <c r="E56" s="261"/>
      <c r="F56" s="261"/>
      <c r="G56" s="261"/>
      <c r="H56" s="261"/>
      <c r="I56" s="261"/>
      <c r="J56" s="261"/>
      <c r="K56" s="261"/>
      <c r="L56" s="261"/>
      <c r="M56" s="261"/>
      <c r="N56" s="261"/>
      <c r="O56" s="261"/>
      <c r="P56" s="261"/>
      <c r="Q56" s="261"/>
      <c r="R56" s="261"/>
      <c r="S56" s="261"/>
      <c r="T56" s="261"/>
      <c r="U56" s="261"/>
      <c r="V56" s="261"/>
      <c r="W56" s="261"/>
      <c r="X56" s="261"/>
    </row>
    <row r="57" spans="1:24" ht="13.35" customHeight="1" x14ac:dyDescent="0.2">
      <c r="A57" s="106">
        <f>IF(AND(IF('CP-1'!I13="P",1,"")=1,B57=""),"",1)</f>
        <v>1</v>
      </c>
      <c r="B57" s="167"/>
      <c r="C57" s="167"/>
      <c r="D57" s="167"/>
      <c r="E57" s="167"/>
      <c r="F57" s="167"/>
      <c r="G57" s="167"/>
      <c r="H57" s="167"/>
      <c r="I57" s="167"/>
      <c r="J57" s="167"/>
      <c r="K57" s="167"/>
      <c r="L57" s="167"/>
      <c r="M57" s="167"/>
      <c r="N57" s="167"/>
      <c r="O57" s="167"/>
      <c r="P57" s="167"/>
      <c r="Q57" s="167"/>
      <c r="R57" s="167"/>
      <c r="S57" s="167"/>
      <c r="T57" s="167"/>
      <c r="U57" s="167"/>
      <c r="V57" s="167"/>
      <c r="W57" s="167"/>
      <c r="X57" s="167"/>
    </row>
    <row r="58" spans="1:24" ht="13.35" customHeight="1" x14ac:dyDescent="0.2">
      <c r="B58" s="167"/>
      <c r="C58" s="167"/>
      <c r="D58" s="167"/>
      <c r="E58" s="167"/>
      <c r="F58" s="167"/>
      <c r="G58" s="167"/>
      <c r="H58" s="167"/>
      <c r="I58" s="167"/>
      <c r="J58" s="167"/>
      <c r="K58" s="167"/>
      <c r="L58" s="167"/>
      <c r="M58" s="167"/>
      <c r="N58" s="167"/>
      <c r="O58" s="167"/>
      <c r="P58" s="167"/>
      <c r="Q58" s="167"/>
      <c r="R58" s="167"/>
      <c r="S58" s="167"/>
      <c r="T58" s="167"/>
      <c r="U58" s="167"/>
      <c r="V58" s="167"/>
      <c r="W58" s="167"/>
      <c r="X58" s="167"/>
    </row>
    <row r="59" spans="1:24" ht="13.35" customHeight="1" x14ac:dyDescent="0.2">
      <c r="B59" s="167"/>
      <c r="C59" s="167"/>
      <c r="D59" s="167"/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7"/>
      <c r="P59" s="167"/>
      <c r="Q59" s="167"/>
      <c r="R59" s="167"/>
      <c r="S59" s="167"/>
      <c r="T59" s="167"/>
      <c r="U59" s="167"/>
      <c r="V59" s="167"/>
      <c r="W59" s="167"/>
      <c r="X59" s="167"/>
    </row>
    <row r="60" spans="1:24" ht="13.35" customHeight="1" x14ac:dyDescent="0.2">
      <c r="B60" s="167"/>
      <c r="C60" s="167"/>
      <c r="D60" s="167"/>
      <c r="E60" s="167"/>
      <c r="F60" s="167"/>
      <c r="G60" s="167"/>
      <c r="H60" s="167"/>
      <c r="I60" s="167"/>
      <c r="J60" s="167"/>
      <c r="K60" s="167"/>
      <c r="L60" s="167"/>
      <c r="M60" s="167"/>
      <c r="N60" s="167"/>
      <c r="O60" s="167"/>
      <c r="P60" s="167"/>
      <c r="Q60" s="167"/>
      <c r="R60" s="167"/>
      <c r="S60" s="167"/>
      <c r="T60" s="167"/>
      <c r="U60" s="167"/>
      <c r="V60" s="167"/>
      <c r="W60" s="167"/>
      <c r="X60" s="167"/>
    </row>
    <row r="61" spans="1:24" ht="13.35" customHeight="1" x14ac:dyDescent="0.2">
      <c r="B61" s="167"/>
      <c r="C61" s="167"/>
      <c r="D61" s="167"/>
      <c r="E61" s="167"/>
      <c r="F61" s="167"/>
      <c r="G61" s="167"/>
      <c r="H61" s="167"/>
      <c r="I61" s="167"/>
      <c r="J61" s="167"/>
      <c r="K61" s="167"/>
      <c r="L61" s="167"/>
      <c r="M61" s="167"/>
      <c r="N61" s="167"/>
      <c r="O61" s="167"/>
      <c r="P61" s="167"/>
      <c r="Q61" s="167"/>
      <c r="R61" s="167"/>
      <c r="S61" s="167"/>
      <c r="T61" s="167"/>
      <c r="U61" s="167"/>
      <c r="V61" s="167"/>
      <c r="W61" s="167"/>
      <c r="X61" s="167"/>
    </row>
    <row r="62" spans="1:24" ht="13.35" customHeight="1" x14ac:dyDescent="0.2">
      <c r="B62" s="167"/>
      <c r="C62" s="167"/>
      <c r="D62" s="167"/>
      <c r="E62" s="167"/>
      <c r="F62" s="167"/>
      <c r="G62" s="167"/>
      <c r="H62" s="167"/>
      <c r="I62" s="167"/>
      <c r="J62" s="167"/>
      <c r="K62" s="167"/>
      <c r="L62" s="167"/>
      <c r="M62" s="167"/>
      <c r="N62" s="167"/>
      <c r="O62" s="167"/>
      <c r="P62" s="167"/>
      <c r="Q62" s="167"/>
      <c r="R62" s="167"/>
      <c r="S62" s="167"/>
      <c r="T62" s="167"/>
      <c r="U62" s="167"/>
      <c r="V62" s="167"/>
      <c r="W62" s="167"/>
      <c r="X62" s="167"/>
    </row>
    <row r="63" spans="1:24" ht="13.35" customHeight="1" x14ac:dyDescent="0.2"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</row>
    <row r="64" spans="1:24" ht="13.35" customHeight="1" x14ac:dyDescent="0.2">
      <c r="B64" s="167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</row>
    <row r="65" spans="1:24" ht="13.35" customHeight="1" x14ac:dyDescent="0.2"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</row>
    <row r="66" spans="1:24" ht="13.35" customHeight="1" x14ac:dyDescent="0.2"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</row>
    <row r="67" spans="1:24" ht="13.35" customHeight="1" x14ac:dyDescent="0.2"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</row>
    <row r="75" spans="1:24" ht="18.75" x14ac:dyDescent="0.3">
      <c r="A75" s="26" t="s">
        <v>187</v>
      </c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O75" s="33"/>
      <c r="P75" s="33"/>
      <c r="Q75" s="33"/>
      <c r="R75" s="33"/>
      <c r="S75" s="33"/>
      <c r="T75" s="26"/>
      <c r="U75" s="26"/>
      <c r="V75" s="26"/>
      <c r="W75" s="34" t="s">
        <v>57</v>
      </c>
    </row>
    <row r="76" spans="1:24" ht="18.75" x14ac:dyDescent="0.3"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33"/>
      <c r="O76" s="33"/>
      <c r="P76" s="33"/>
      <c r="Q76" s="33"/>
      <c r="R76" s="33"/>
      <c r="T76" s="26"/>
      <c r="U76" s="26"/>
      <c r="V76" s="26"/>
      <c r="W76" s="35" t="s">
        <v>58</v>
      </c>
    </row>
    <row r="77" spans="1:24" ht="15.75" x14ac:dyDescent="0.25"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</row>
  </sheetData>
  <sheetProtection algorithmName="SHA-512" hashValue="GqF7EltOwSQTupJ42MzIFIkUc1UndlrYsWCGG21B12v9g2cYDjUq5LZdCi/jrlv92Mn/WDl2ESIR+1kbSQuiGg==" saltValue="dFRc1dSUEwgF6yaii57g5w==" spinCount="100000" sheet="1" objects="1" scenarios="1"/>
  <mergeCells count="12">
    <mergeCell ref="C19:X26"/>
    <mergeCell ref="O6:X6"/>
    <mergeCell ref="A7:X9"/>
    <mergeCell ref="D15:L15"/>
    <mergeCell ref="M15:X15"/>
    <mergeCell ref="D16:P16"/>
    <mergeCell ref="Q16:X16"/>
    <mergeCell ref="B56:X56"/>
    <mergeCell ref="B57:X67"/>
    <mergeCell ref="B44:X44"/>
    <mergeCell ref="B45:X55"/>
    <mergeCell ref="B30:X41"/>
  </mergeCells>
  <conditionalFormatting sqref="B30:X41">
    <cfRule type="expression" dxfId="92" priority="6">
      <formula>$B$29&lt;&gt;""</formula>
    </cfRule>
  </conditionalFormatting>
  <conditionalFormatting sqref="B44:X44">
    <cfRule type="expression" dxfId="91" priority="5">
      <formula>$A$43&lt;&gt;""</formula>
    </cfRule>
  </conditionalFormatting>
  <conditionalFormatting sqref="B45:X55">
    <cfRule type="expression" dxfId="90" priority="4">
      <formula>$A$43&lt;&gt;""</formula>
    </cfRule>
  </conditionalFormatting>
  <conditionalFormatting sqref="B56:X56">
    <cfRule type="expression" dxfId="89" priority="3">
      <formula>$A$43&lt;&gt;""</formula>
    </cfRule>
  </conditionalFormatting>
  <conditionalFormatting sqref="B57:X67">
    <cfRule type="expression" dxfId="88" priority="2">
      <formula>$A$43&lt;&gt;""</formula>
    </cfRule>
  </conditionalFormatting>
  <conditionalFormatting sqref="C19:X26">
    <cfRule type="expression" dxfId="87" priority="1">
      <formula>$B$18&lt;&gt;""</formula>
    </cfRule>
  </conditionalFormatting>
  <pageMargins left="0.7" right="0.7" top="0.25" bottom="0.25" header="0.3" footer="0.3"/>
  <pageSetup scale="6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Check Box 1">
              <controlPr defaultSize="0" print="0" autoFill="0" autoLine="0" autoPict="0">
                <anchor moveWithCells="1">
                  <from>
                    <xdr:col>10</xdr:col>
                    <xdr:colOff>161925</xdr:colOff>
                    <xdr:row>12</xdr:row>
                    <xdr:rowOff>238125</xdr:rowOff>
                  </from>
                  <to>
                    <xdr:col>10</xdr:col>
                    <xdr:colOff>381000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Check Box 2">
              <controlPr defaultSize="0" print="0" autoFill="0" autoLine="0" autoPict="0">
                <anchor moveWithCells="1">
                  <from>
                    <xdr:col>14</xdr:col>
                    <xdr:colOff>104775</xdr:colOff>
                    <xdr:row>12</xdr:row>
                    <xdr:rowOff>238125</xdr:rowOff>
                  </from>
                  <to>
                    <xdr:col>14</xdr:col>
                    <xdr:colOff>314325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Check Box 3">
              <controlPr defaultSize="0" print="0" autoFill="0" autoLine="0" autoPict="0">
                <anchor moveWithCells="1">
                  <from>
                    <xdr:col>18</xdr:col>
                    <xdr:colOff>104775</xdr:colOff>
                    <xdr:row>12</xdr:row>
                    <xdr:rowOff>238125</xdr:rowOff>
                  </from>
                  <to>
                    <xdr:col>18</xdr:col>
                    <xdr:colOff>314325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1D939-D987-42C8-8AA9-1385B8289977}">
  <sheetPr codeName="Sheet5">
    <tabColor rgb="FFFFFF00"/>
    <pageSetUpPr fitToPage="1"/>
  </sheetPr>
  <dimension ref="A1:AL86"/>
  <sheetViews>
    <sheetView showGridLines="0" zoomScale="70" zoomScaleNormal="70" workbookViewId="0">
      <selection activeCell="AS12" sqref="AS12"/>
    </sheetView>
  </sheetViews>
  <sheetFormatPr defaultColWidth="12" defaultRowHeight="23.25" x14ac:dyDescent="0.35"/>
  <cols>
    <col min="1" max="1" width="3.42578125" style="44" customWidth="1"/>
    <col min="2" max="2" width="5.85546875" style="44" customWidth="1"/>
    <col min="3" max="3" width="5" style="44" customWidth="1"/>
    <col min="4" max="5" width="5.42578125" style="44" customWidth="1"/>
    <col min="6" max="6" width="6.42578125" style="44" customWidth="1"/>
    <col min="7" max="7" width="5.42578125" style="44" customWidth="1"/>
    <col min="8" max="8" width="6.42578125" style="44" customWidth="1"/>
    <col min="9" max="9" width="5.42578125" style="44" customWidth="1"/>
    <col min="10" max="10" width="6.140625" style="44" customWidth="1"/>
    <col min="11" max="11" width="5.42578125" style="44" customWidth="1"/>
    <col min="12" max="12" width="6.42578125" style="44" customWidth="1"/>
    <col min="13" max="13" width="5.42578125" style="44" customWidth="1"/>
    <col min="14" max="19" width="5.140625" style="44" customWidth="1"/>
    <col min="20" max="20" width="5.85546875" style="44" customWidth="1"/>
    <col min="21" max="31" width="5.140625" style="44" customWidth="1"/>
    <col min="32" max="32" width="5" style="44" customWidth="1"/>
    <col min="33" max="33" width="4" style="44" customWidth="1"/>
    <col min="34" max="38" width="5.140625" style="44" customWidth="1"/>
    <col min="39" max="44" width="6.140625" style="44" customWidth="1"/>
    <col min="45" max="16384" width="12" style="44"/>
  </cols>
  <sheetData>
    <row r="1" spans="1:38" ht="19.350000000000001" customHeight="1" x14ac:dyDescent="0.35">
      <c r="A1" s="137" t="str">
        <f ca="1">B2&amp;" "&amp;TEXT(TODAY(),"mm-dd-yyyy")</f>
        <v>Contract Review and Setup Sheet 08-05-2022</v>
      </c>
    </row>
    <row r="2" spans="1:38" ht="49.5" x14ac:dyDescent="0.65">
      <c r="B2" s="272" t="s">
        <v>188</v>
      </c>
      <c r="C2" s="272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72"/>
      <c r="P2" s="272"/>
      <c r="Q2" s="272"/>
      <c r="R2" s="272"/>
      <c r="S2" s="272"/>
      <c r="T2" s="272"/>
      <c r="U2" s="272"/>
      <c r="V2" s="272"/>
      <c r="W2" s="272"/>
      <c r="X2" s="272"/>
      <c r="Y2" s="272"/>
      <c r="Z2" s="272"/>
      <c r="AA2" s="272"/>
      <c r="AB2" s="272"/>
      <c r="AC2" s="272"/>
      <c r="AD2" s="272"/>
      <c r="AE2" s="272"/>
      <c r="AF2" s="272"/>
      <c r="AG2" s="272"/>
      <c r="AH2" s="272"/>
      <c r="AI2" s="272"/>
      <c r="AJ2" s="272"/>
      <c r="AK2" s="272"/>
      <c r="AL2" s="272"/>
    </row>
    <row r="3" spans="1:38" ht="12.6" customHeight="1" x14ac:dyDescent="0.35"/>
    <row r="4" spans="1:38" ht="72" customHeight="1" x14ac:dyDescent="0.35">
      <c r="C4" s="71" t="s">
        <v>189</v>
      </c>
      <c r="D4" s="46"/>
      <c r="E4" s="46"/>
      <c r="F4" s="46"/>
      <c r="G4" s="131"/>
      <c r="H4" s="131"/>
      <c r="I4" s="287" t="str">
        <f>IF('CP-1'!F4="","",'CP-1'!F4)</f>
        <v>Invisibles Systems México, sociedad de responsabilidad limitada de capital variable.</v>
      </c>
      <c r="J4" s="287"/>
      <c r="K4" s="287"/>
      <c r="L4" s="287"/>
      <c r="M4" s="287"/>
      <c r="N4" s="287"/>
      <c r="O4" s="287"/>
      <c r="P4" s="287"/>
      <c r="Q4" s="287"/>
      <c r="R4" s="287"/>
      <c r="S4" s="287"/>
      <c r="T4" s="287"/>
      <c r="U4" s="287"/>
      <c r="V4" s="287"/>
      <c r="W4" s="287"/>
      <c r="X4" s="287"/>
      <c r="Y4" s="287"/>
      <c r="Z4" s="287"/>
      <c r="AA4" s="287"/>
      <c r="AB4" s="287"/>
      <c r="AC4" s="287"/>
      <c r="AD4" s="287"/>
      <c r="AE4" s="287"/>
      <c r="AF4" s="287"/>
      <c r="AG4" s="287"/>
      <c r="AH4" s="287"/>
      <c r="AI4" s="287"/>
      <c r="AJ4" s="287"/>
      <c r="AK4" s="287"/>
      <c r="AL4" s="287"/>
    </row>
    <row r="5" spans="1:38" ht="57.6" customHeight="1" x14ac:dyDescent="0.35">
      <c r="C5" s="71" t="s">
        <v>190</v>
      </c>
      <c r="D5" s="46"/>
      <c r="E5" s="46"/>
      <c r="G5" s="286" t="str">
        <f>IF('CP-1'!C5="","",'CP-1'!C5)</f>
        <v>Chimeneas 5050. Parque Industrial Juarez</v>
      </c>
      <c r="H5" s="286"/>
      <c r="I5" s="286"/>
      <c r="J5" s="286"/>
      <c r="K5" s="286"/>
      <c r="L5" s="286"/>
      <c r="M5" s="286"/>
      <c r="N5" s="286"/>
      <c r="O5" s="286"/>
      <c r="P5" s="286"/>
      <c r="Q5" s="286"/>
      <c r="R5" s="286"/>
      <c r="S5" s="286"/>
      <c r="T5" s="286"/>
      <c r="U5" s="286"/>
      <c r="V5" s="286"/>
      <c r="W5" s="286"/>
      <c r="X5" s="286"/>
      <c r="Y5" s="286"/>
      <c r="Z5" s="286"/>
      <c r="AA5" s="286"/>
      <c r="AB5" s="286"/>
      <c r="AC5" s="286"/>
      <c r="AD5" s="286"/>
      <c r="AE5" s="286"/>
      <c r="AF5" s="286"/>
      <c r="AG5" s="286"/>
      <c r="AH5" s="286"/>
      <c r="AI5" s="286"/>
      <c r="AJ5" s="286"/>
      <c r="AK5" s="286"/>
      <c r="AL5" s="286"/>
    </row>
    <row r="6" spans="1:38" ht="12.6" customHeight="1" x14ac:dyDescent="0.35"/>
    <row r="7" spans="1:38" ht="30" x14ac:dyDescent="0.4">
      <c r="C7" s="273" t="s">
        <v>191</v>
      </c>
      <c r="D7" s="274"/>
      <c r="E7" s="274"/>
      <c r="F7" s="274"/>
      <c r="G7" s="274"/>
      <c r="H7" s="274"/>
      <c r="I7" s="274"/>
      <c r="J7" s="274"/>
      <c r="K7" s="274"/>
      <c r="L7" s="274"/>
      <c r="M7" s="274"/>
      <c r="N7" s="274"/>
      <c r="O7" s="274"/>
      <c r="P7" s="274"/>
      <c r="Q7" s="274"/>
      <c r="R7" s="274"/>
      <c r="S7" s="274"/>
      <c r="T7" s="274"/>
      <c r="U7" s="274"/>
      <c r="V7" s="274"/>
      <c r="W7" s="274"/>
      <c r="X7" s="274"/>
      <c r="Y7" s="274"/>
      <c r="Z7" s="274"/>
      <c r="AA7" s="274"/>
      <c r="AB7" s="274"/>
      <c r="AC7" s="274"/>
      <c r="AD7" s="274"/>
      <c r="AE7" s="274"/>
      <c r="AF7" s="274"/>
      <c r="AG7" s="274"/>
      <c r="AH7" s="274"/>
      <c r="AI7" s="274"/>
      <c r="AJ7" s="274"/>
      <c r="AK7" s="274"/>
      <c r="AL7" s="275"/>
    </row>
    <row r="8" spans="1:38" ht="26.45" customHeight="1" x14ac:dyDescent="0.4">
      <c r="C8" s="276" t="s">
        <v>192</v>
      </c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277"/>
      <c r="Q8" s="277"/>
      <c r="R8" s="277"/>
      <c r="S8" s="277"/>
      <c r="T8" s="277"/>
      <c r="U8" s="277"/>
      <c r="V8" s="277"/>
      <c r="W8" s="277"/>
      <c r="X8" s="277"/>
      <c r="Y8" s="277"/>
      <c r="Z8" s="277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77"/>
      <c r="AL8" s="278"/>
    </row>
    <row r="9" spans="1:38" s="46" customFormat="1" ht="22.7" customHeight="1" x14ac:dyDescent="0.35">
      <c r="C9" s="47" t="s">
        <v>193</v>
      </c>
      <c r="D9" s="279" t="s">
        <v>194</v>
      </c>
      <c r="E9" s="279"/>
      <c r="F9" s="279"/>
      <c r="G9" s="279"/>
      <c r="H9" s="279"/>
      <c r="I9" s="279"/>
      <c r="J9" s="279"/>
      <c r="K9" s="279"/>
      <c r="L9" s="279"/>
      <c r="M9" s="279"/>
      <c r="N9" s="280"/>
      <c r="O9" s="281" t="s">
        <v>195</v>
      </c>
      <c r="P9" s="282"/>
      <c r="Q9" s="281" t="s">
        <v>196</v>
      </c>
      <c r="R9" s="283"/>
      <c r="S9" s="282"/>
      <c r="T9" s="48" t="s">
        <v>193</v>
      </c>
      <c r="U9" s="284" t="s">
        <v>194</v>
      </c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5"/>
      <c r="AH9" s="281" t="s">
        <v>195</v>
      </c>
      <c r="AI9" s="282"/>
      <c r="AJ9" s="281" t="s">
        <v>196</v>
      </c>
      <c r="AK9" s="283"/>
      <c r="AL9" s="282"/>
    </row>
    <row r="10" spans="1:38" ht="24.6" customHeight="1" x14ac:dyDescent="0.35">
      <c r="C10" s="129" t="str">
        <f>IFERROR(VLOOKUP(D10,CONTROLS!$M$4:$N$13,2,FALSE),"")</f>
        <v/>
      </c>
      <c r="D10" s="269" t="s">
        <v>197</v>
      </c>
      <c r="E10" s="269"/>
      <c r="F10" s="269"/>
      <c r="G10" s="269"/>
      <c r="H10" s="269"/>
      <c r="I10" s="269"/>
      <c r="J10" s="269"/>
      <c r="K10" s="269"/>
      <c r="L10" s="269"/>
      <c r="M10" s="269"/>
      <c r="N10" s="270"/>
      <c r="O10" s="288"/>
      <c r="P10" s="289"/>
      <c r="Q10" s="288"/>
      <c r="R10" s="290"/>
      <c r="S10" s="289"/>
      <c r="T10" s="129" t="str">
        <f>IFERROR(VLOOKUP(U10,CONTROLS!$M$4:$N$13,2,FALSE),"")</f>
        <v/>
      </c>
      <c r="U10" s="269" t="s">
        <v>19</v>
      </c>
      <c r="V10" s="269"/>
      <c r="W10" s="269"/>
      <c r="X10" s="269"/>
      <c r="Y10" s="269"/>
      <c r="Z10" s="269"/>
      <c r="AA10" s="269"/>
      <c r="AB10" s="269"/>
      <c r="AC10" s="269"/>
      <c r="AD10" s="269"/>
      <c r="AE10" s="269"/>
      <c r="AF10" s="269"/>
      <c r="AG10" s="270"/>
      <c r="AH10" s="288"/>
      <c r="AI10" s="289"/>
      <c r="AJ10" s="288"/>
      <c r="AK10" s="290"/>
      <c r="AL10" s="289"/>
    </row>
    <row r="11" spans="1:38" ht="24.6" customHeight="1" x14ac:dyDescent="0.35">
      <c r="C11" s="129" t="str">
        <f>IFERROR(VLOOKUP(D11,CONTROLS!$M$4:$N$13,2,FALSE),"")</f>
        <v>P</v>
      </c>
      <c r="D11" s="269" t="s">
        <v>198</v>
      </c>
      <c r="E11" s="269"/>
      <c r="F11" s="269"/>
      <c r="G11" s="269"/>
      <c r="H11" s="269"/>
      <c r="I11" s="269"/>
      <c r="J11" s="269"/>
      <c r="K11" s="269"/>
      <c r="L11" s="269"/>
      <c r="M11" s="269"/>
      <c r="N11" s="270"/>
      <c r="O11" s="288"/>
      <c r="P11" s="289"/>
      <c r="Q11" s="288"/>
      <c r="R11" s="290"/>
      <c r="S11" s="289"/>
      <c r="T11" s="129" t="str">
        <f>IFERROR(VLOOKUP(U11,CONTROLS!$M$4:$N$13,2,FALSE),"")</f>
        <v/>
      </c>
      <c r="U11" s="269" t="s">
        <v>199</v>
      </c>
      <c r="V11" s="269"/>
      <c r="W11" s="269"/>
      <c r="X11" s="269"/>
      <c r="Y11" s="269"/>
      <c r="Z11" s="269"/>
      <c r="AA11" s="269"/>
      <c r="AB11" s="269"/>
      <c r="AC11" s="269"/>
      <c r="AD11" s="269"/>
      <c r="AE11" s="269"/>
      <c r="AF11" s="269"/>
      <c r="AG11" s="270"/>
      <c r="AH11" s="288"/>
      <c r="AI11" s="289"/>
      <c r="AJ11" s="288"/>
      <c r="AK11" s="290"/>
      <c r="AL11" s="289"/>
    </row>
    <row r="12" spans="1:38" ht="24.6" customHeight="1" x14ac:dyDescent="0.35">
      <c r="C12" s="129" t="str">
        <f>IFERROR(VLOOKUP(D12,CONTROLS!$M$4:$N$13,2,FALSE),"")</f>
        <v/>
      </c>
      <c r="D12" s="269" t="s">
        <v>200</v>
      </c>
      <c r="E12" s="269"/>
      <c r="F12" s="269"/>
      <c r="G12" s="269"/>
      <c r="H12" s="269"/>
      <c r="I12" s="269"/>
      <c r="J12" s="269"/>
      <c r="K12" s="269"/>
      <c r="L12" s="269"/>
      <c r="M12" s="269"/>
      <c r="N12" s="270"/>
      <c r="O12" s="291" t="s">
        <v>201</v>
      </c>
      <c r="P12" s="292"/>
      <c r="Q12" s="288"/>
      <c r="R12" s="290"/>
      <c r="S12" s="289"/>
      <c r="T12" s="129" t="str">
        <f>IFERROR(VLOOKUP(U12,CONTROLS!$M$4:$N$13,2,FALSE),"")</f>
        <v/>
      </c>
      <c r="U12" s="151" t="s">
        <v>18</v>
      </c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2"/>
      <c r="AH12" s="288"/>
      <c r="AI12" s="289"/>
      <c r="AJ12" s="288"/>
      <c r="AK12" s="290"/>
      <c r="AL12" s="289"/>
    </row>
    <row r="13" spans="1:38" ht="24.6" customHeight="1" x14ac:dyDescent="0.35">
      <c r="C13" s="129" t="str">
        <f>IFERROR(VLOOKUP(D13,CONTROLS!$M$4:$N$13,2,FALSE),"")</f>
        <v/>
      </c>
      <c r="D13" s="269" t="s">
        <v>202</v>
      </c>
      <c r="E13" s="269"/>
      <c r="F13" s="269"/>
      <c r="G13" s="269"/>
      <c r="H13" s="269"/>
      <c r="I13" s="269"/>
      <c r="J13" s="269"/>
      <c r="K13" s="269"/>
      <c r="L13" s="269"/>
      <c r="M13" s="269"/>
      <c r="N13" s="270"/>
      <c r="O13" s="291" t="s">
        <v>201</v>
      </c>
      <c r="P13" s="292"/>
      <c r="Q13" s="288"/>
      <c r="R13" s="290"/>
      <c r="S13" s="289"/>
      <c r="T13" s="129" t="str">
        <f>IFERROR(VLOOKUP(U13,CONTROLS!$M$4:$N$13,2,FALSE),"")</f>
        <v/>
      </c>
      <c r="U13" s="151" t="s">
        <v>203</v>
      </c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2"/>
      <c r="AH13" s="291">
        <v>24</v>
      </c>
      <c r="AI13" s="292"/>
      <c r="AJ13" s="291">
        <v>6506</v>
      </c>
      <c r="AK13" s="293"/>
      <c r="AL13" s="292"/>
    </row>
    <row r="14" spans="1:38" ht="24.6" customHeight="1" x14ac:dyDescent="0.35">
      <c r="C14" s="129" t="str">
        <f>IFERROR(VLOOKUP(D14,CONTROLS!$M$4:$N$13,2,FALSE),"")</f>
        <v/>
      </c>
      <c r="D14" s="269" t="s">
        <v>204</v>
      </c>
      <c r="E14" s="269"/>
      <c r="F14" s="269"/>
      <c r="G14" s="269"/>
      <c r="H14" s="269"/>
      <c r="I14" s="269"/>
      <c r="J14" s="269"/>
      <c r="K14" s="269"/>
      <c r="L14" s="269"/>
      <c r="M14" s="269"/>
      <c r="N14" s="270"/>
      <c r="O14" s="288"/>
      <c r="P14" s="289"/>
      <c r="Q14" s="288"/>
      <c r="R14" s="290"/>
      <c r="S14" s="289"/>
      <c r="T14" s="129" t="str">
        <f>IFERROR(VLOOKUP(U14,CONTROLS!$M$4:$N$13,2,FALSE),"")</f>
        <v/>
      </c>
      <c r="U14" s="151" t="s">
        <v>205</v>
      </c>
      <c r="V14" s="151"/>
      <c r="W14" s="151"/>
      <c r="X14" s="151"/>
      <c r="Y14" s="151"/>
      <c r="Z14" s="151"/>
      <c r="AA14" s="151"/>
      <c r="AB14" s="151"/>
      <c r="AC14" s="151"/>
      <c r="AD14" s="151"/>
      <c r="AE14" s="151"/>
      <c r="AF14" s="151"/>
      <c r="AG14" s="152"/>
      <c r="AH14" s="291">
        <v>24</v>
      </c>
      <c r="AI14" s="292"/>
      <c r="AJ14" s="291">
        <v>6505</v>
      </c>
      <c r="AK14" s="293"/>
      <c r="AL14" s="292"/>
    </row>
    <row r="15" spans="1:38" ht="24.6" customHeight="1" x14ac:dyDescent="0.35">
      <c r="C15" s="129" t="str">
        <f>IFERROR(VLOOKUP(D15,CONTROLS!$M$4:$N$13,2,FALSE),"")</f>
        <v/>
      </c>
      <c r="D15" s="269" t="s">
        <v>206</v>
      </c>
      <c r="E15" s="269"/>
      <c r="F15" s="269"/>
      <c r="G15" s="269"/>
      <c r="H15" s="269"/>
      <c r="I15" s="269"/>
      <c r="J15" s="269"/>
      <c r="K15" s="269"/>
      <c r="L15" s="269"/>
      <c r="M15" s="269"/>
      <c r="N15" s="270"/>
      <c r="O15" s="288"/>
      <c r="P15" s="289"/>
      <c r="Q15" s="288"/>
      <c r="R15" s="290"/>
      <c r="S15" s="289"/>
      <c r="T15" s="129" t="str">
        <f>IFERROR(VLOOKUP(U15,CONTROLS!$M$4:$N$13,2,FALSE),"")</f>
        <v/>
      </c>
      <c r="U15" s="151" t="s">
        <v>207</v>
      </c>
      <c r="V15" s="151"/>
      <c r="W15" s="151"/>
      <c r="X15" s="151"/>
      <c r="Y15" s="151"/>
      <c r="Z15" s="151"/>
      <c r="AA15" s="151"/>
      <c r="AB15" s="151"/>
      <c r="AC15" s="151"/>
      <c r="AD15" s="151"/>
      <c r="AE15" s="151"/>
      <c r="AF15" s="151"/>
      <c r="AG15" s="152"/>
      <c r="AH15" s="291">
        <v>24</v>
      </c>
      <c r="AI15" s="292"/>
      <c r="AJ15" s="291">
        <v>6508</v>
      </c>
      <c r="AK15" s="293"/>
      <c r="AL15" s="292"/>
    </row>
    <row r="16" spans="1:38" ht="24.6" customHeight="1" x14ac:dyDescent="0.35">
      <c r="C16" s="129" t="str">
        <f>IFERROR(VLOOKUP(D16,CONTROLS!$M$4:$N$13,2,FALSE),"")</f>
        <v/>
      </c>
      <c r="D16" s="269" t="s">
        <v>208</v>
      </c>
      <c r="E16" s="269"/>
      <c r="F16" s="269"/>
      <c r="G16" s="269"/>
      <c r="H16" s="269"/>
      <c r="I16" s="269"/>
      <c r="J16" s="269"/>
      <c r="K16" s="269"/>
      <c r="L16" s="269"/>
      <c r="M16" s="269"/>
      <c r="N16" s="270"/>
      <c r="O16" s="291">
        <v>29</v>
      </c>
      <c r="P16" s="292"/>
      <c r="Q16" s="291">
        <v>7022</v>
      </c>
      <c r="R16" s="293"/>
      <c r="S16" s="292"/>
      <c r="T16" s="129" t="str">
        <f>IFERROR(VLOOKUP(U16,CONTROLS!$M$4:$N$13,2,FALSE),"")</f>
        <v/>
      </c>
      <c r="U16" s="153" t="s">
        <v>209</v>
      </c>
      <c r="V16" s="153"/>
      <c r="W16" s="153"/>
      <c r="X16" s="153"/>
      <c r="Y16" s="151"/>
      <c r="Z16" s="151"/>
      <c r="AA16" s="151"/>
      <c r="AB16" s="151"/>
      <c r="AC16" s="151"/>
      <c r="AD16" s="151"/>
      <c r="AE16" s="151"/>
      <c r="AF16" s="151"/>
      <c r="AG16" s="152"/>
      <c r="AH16" s="291" t="s">
        <v>201</v>
      </c>
      <c r="AI16" s="292"/>
      <c r="AJ16" s="291">
        <v>8014</v>
      </c>
      <c r="AK16" s="293"/>
      <c r="AL16" s="292"/>
    </row>
    <row r="17" spans="2:38" ht="24.6" customHeight="1" x14ac:dyDescent="0.35">
      <c r="C17" s="129" t="str">
        <f>IFERROR(VLOOKUP(D17,CONTROLS!$M$4:$N$13,2,FALSE),"")</f>
        <v/>
      </c>
      <c r="D17" s="269" t="s">
        <v>210</v>
      </c>
      <c r="E17" s="269"/>
      <c r="F17" s="269"/>
      <c r="G17" s="269"/>
      <c r="H17" s="269"/>
      <c r="I17" s="269"/>
      <c r="J17" s="269"/>
      <c r="K17" s="269"/>
      <c r="L17" s="269"/>
      <c r="M17" s="269"/>
      <c r="N17" s="270"/>
      <c r="O17" s="291">
        <v>29</v>
      </c>
      <c r="P17" s="292"/>
      <c r="Q17" s="291">
        <v>7022</v>
      </c>
      <c r="R17" s="293"/>
      <c r="S17" s="292"/>
      <c r="T17" s="129" t="str">
        <f>IFERROR(VLOOKUP(U17,CONTROLS!$M$4:$N$13,2,FALSE),"")</f>
        <v/>
      </c>
      <c r="U17" s="151" t="s">
        <v>211</v>
      </c>
      <c r="V17" s="153"/>
      <c r="W17" s="153"/>
      <c r="X17" s="153"/>
      <c r="Y17" s="151"/>
      <c r="Z17" s="151"/>
      <c r="AA17" s="151"/>
      <c r="AB17" s="151"/>
      <c r="AC17" s="151"/>
      <c r="AD17" s="151"/>
      <c r="AE17" s="151"/>
      <c r="AF17" s="151"/>
      <c r="AG17" s="152"/>
      <c r="AH17" s="291" t="s">
        <v>201</v>
      </c>
      <c r="AI17" s="292"/>
      <c r="AJ17" s="291">
        <v>8024</v>
      </c>
      <c r="AK17" s="293"/>
      <c r="AL17" s="292"/>
    </row>
    <row r="18" spans="2:38" ht="24.6" customHeight="1" x14ac:dyDescent="0.35">
      <c r="C18" s="129" t="str">
        <f>IFERROR(VLOOKUP(D18,CONTROLS!$M$4:$N$13,2,FALSE),"")</f>
        <v/>
      </c>
      <c r="D18" s="269" t="s">
        <v>212</v>
      </c>
      <c r="E18" s="269"/>
      <c r="F18" s="269"/>
      <c r="G18" s="269"/>
      <c r="H18" s="269"/>
      <c r="I18" s="269"/>
      <c r="J18" s="269"/>
      <c r="K18" s="269"/>
      <c r="L18" s="269"/>
      <c r="M18" s="269"/>
      <c r="N18" s="270"/>
      <c r="O18" s="288"/>
      <c r="P18" s="289"/>
      <c r="Q18" s="288"/>
      <c r="R18" s="290"/>
      <c r="S18" s="289"/>
      <c r="T18" s="129" t="str">
        <f>IFERROR(VLOOKUP(U18,CONTROLS!$M$4:$N$13,2,FALSE),"")</f>
        <v/>
      </c>
      <c r="U18" s="151" t="s">
        <v>213</v>
      </c>
      <c r="V18" s="153"/>
      <c r="W18" s="153"/>
      <c r="X18" s="153"/>
      <c r="Y18" s="151"/>
      <c r="Z18" s="151"/>
      <c r="AA18" s="151"/>
      <c r="AB18" s="151"/>
      <c r="AC18" s="151"/>
      <c r="AD18" s="151"/>
      <c r="AE18" s="151"/>
      <c r="AF18" s="151"/>
      <c r="AG18" s="152"/>
      <c r="AH18" s="291" t="s">
        <v>201</v>
      </c>
      <c r="AI18" s="292"/>
      <c r="AJ18" s="291">
        <v>6015</v>
      </c>
      <c r="AK18" s="293"/>
      <c r="AL18" s="292"/>
    </row>
    <row r="19" spans="2:38" ht="24.6" customHeight="1" x14ac:dyDescent="0.35">
      <c r="C19" s="129" t="str">
        <f>IFERROR(VLOOKUP(D19,CONTROLS!$M$4:$N$13,2,FALSE),"")</f>
        <v/>
      </c>
      <c r="D19" s="269" t="s">
        <v>22</v>
      </c>
      <c r="E19" s="269"/>
      <c r="F19" s="269"/>
      <c r="G19" s="269"/>
      <c r="H19" s="269"/>
      <c r="I19" s="269"/>
      <c r="J19" s="269"/>
      <c r="K19" s="269"/>
      <c r="L19" s="269"/>
      <c r="M19" s="269"/>
      <c r="N19" s="270"/>
      <c r="O19" s="291" t="s">
        <v>201</v>
      </c>
      <c r="P19" s="292"/>
      <c r="Q19" s="288"/>
      <c r="R19" s="290"/>
      <c r="S19" s="289"/>
      <c r="T19" s="130" t="str">
        <f>IFERROR(VLOOKUP(U19,CONTROLS!$M$4:$N$13,2,FALSE),"")</f>
        <v/>
      </c>
      <c r="U19" s="153" t="s">
        <v>214</v>
      </c>
      <c r="V19" s="153"/>
      <c r="W19" s="153"/>
      <c r="X19" s="153"/>
      <c r="Y19" s="151"/>
      <c r="Z19" s="151"/>
      <c r="AA19" s="151"/>
      <c r="AB19" s="151"/>
      <c r="AC19" s="151"/>
      <c r="AD19" s="151"/>
      <c r="AE19" s="151"/>
      <c r="AF19" s="151"/>
      <c r="AG19" s="152"/>
      <c r="AH19" s="288"/>
      <c r="AI19" s="289"/>
      <c r="AJ19" s="288"/>
      <c r="AK19" s="290"/>
      <c r="AL19" s="289"/>
    </row>
    <row r="20" spans="2:38" ht="24.6" customHeight="1" x14ac:dyDescent="0.35">
      <c r="C20" s="129" t="str">
        <f>IFERROR(VLOOKUP(D20,CONTROLS!$M$4:$N$13,2,FALSE),"")</f>
        <v/>
      </c>
      <c r="D20" s="269" t="s">
        <v>215</v>
      </c>
      <c r="E20" s="269"/>
      <c r="F20" s="269"/>
      <c r="G20" s="269"/>
      <c r="H20" s="269"/>
      <c r="I20" s="269"/>
      <c r="J20" s="269"/>
      <c r="K20" s="269"/>
      <c r="L20" s="269"/>
      <c r="M20" s="269"/>
      <c r="N20" s="270"/>
      <c r="O20" s="291" t="s">
        <v>201</v>
      </c>
      <c r="P20" s="292"/>
      <c r="Q20" s="288"/>
      <c r="R20" s="290"/>
      <c r="S20" s="289"/>
      <c r="T20" s="130" t="str">
        <f>IFERROR(VLOOKUP(U20,CONTROLS!$M$4:$N$13,2,FALSE),"")</f>
        <v/>
      </c>
      <c r="U20" s="153" t="s">
        <v>216</v>
      </c>
      <c r="V20" s="153"/>
      <c r="W20" s="153"/>
      <c r="X20" s="153"/>
      <c r="Y20" s="151"/>
      <c r="Z20" s="151"/>
      <c r="AA20" s="151"/>
      <c r="AB20" s="151"/>
      <c r="AC20" s="151"/>
      <c r="AD20" s="151"/>
      <c r="AE20" s="151"/>
      <c r="AF20" s="151"/>
      <c r="AG20" s="152"/>
      <c r="AH20" s="291" t="s">
        <v>201</v>
      </c>
      <c r="AI20" s="292"/>
      <c r="AJ20" s="288"/>
      <c r="AK20" s="290"/>
      <c r="AL20" s="289"/>
    </row>
    <row r="21" spans="2:38" ht="24.6" customHeight="1" x14ac:dyDescent="0.35">
      <c r="C21" s="129" t="str">
        <f>IFERROR(VLOOKUP(D21,CONTROLS!$M$4:$N$13,2,FALSE),"")</f>
        <v/>
      </c>
      <c r="D21" s="269" t="s">
        <v>217</v>
      </c>
      <c r="E21" s="269"/>
      <c r="F21" s="269"/>
      <c r="G21" s="269"/>
      <c r="H21" s="269"/>
      <c r="I21" s="269"/>
      <c r="J21" s="269"/>
      <c r="K21" s="269"/>
      <c r="L21" s="269"/>
      <c r="M21" s="269"/>
      <c r="N21" s="270"/>
      <c r="O21" s="291">
        <v>35</v>
      </c>
      <c r="P21" s="292"/>
      <c r="Q21" s="291">
        <v>7129</v>
      </c>
      <c r="R21" s="293"/>
      <c r="S21" s="292"/>
      <c r="T21" s="129" t="str">
        <f>IFERROR(VLOOKUP(U21,CONTROLS!$M$4:$N$13,2,FALSE),"")</f>
        <v/>
      </c>
      <c r="U21" s="153" t="s">
        <v>218</v>
      </c>
      <c r="V21" s="153"/>
      <c r="W21" s="153"/>
      <c r="X21" s="153"/>
      <c r="Y21" s="151"/>
      <c r="Z21" s="151"/>
      <c r="AA21" s="151"/>
      <c r="AB21" s="151"/>
      <c r="AC21" s="151"/>
      <c r="AD21" s="151"/>
      <c r="AE21" s="151"/>
      <c r="AF21" s="151"/>
      <c r="AG21" s="152"/>
      <c r="AH21" s="291" t="s">
        <v>201</v>
      </c>
      <c r="AI21" s="292"/>
      <c r="AJ21" s="288"/>
      <c r="AK21" s="290"/>
      <c r="AL21" s="289"/>
    </row>
    <row r="22" spans="2:38" ht="24.6" customHeight="1" x14ac:dyDescent="0.35">
      <c r="C22" s="129" t="str">
        <f>IFERROR(VLOOKUP(D22,CONTROLS!$M$4:$N$13,2,FALSE),"")</f>
        <v/>
      </c>
      <c r="D22" s="269" t="s">
        <v>219</v>
      </c>
      <c r="E22" s="269"/>
      <c r="F22" s="269"/>
      <c r="G22" s="269"/>
      <c r="H22" s="269"/>
      <c r="I22" s="269"/>
      <c r="J22" s="269"/>
      <c r="K22" s="269"/>
      <c r="L22" s="269"/>
      <c r="M22" s="269"/>
      <c r="N22" s="270"/>
      <c r="O22" s="291" t="s">
        <v>201</v>
      </c>
      <c r="P22" s="292"/>
      <c r="Q22" s="288"/>
      <c r="R22" s="290"/>
      <c r="S22" s="289"/>
      <c r="T22" s="130" t="str">
        <f>IFERROR(VLOOKUP(U22,CONTROLS!$M$4:$N$13,2,FALSE),"")</f>
        <v/>
      </c>
      <c r="U22" s="151" t="s">
        <v>220</v>
      </c>
      <c r="V22" s="153"/>
      <c r="W22" s="153"/>
      <c r="X22" s="153"/>
      <c r="Y22" s="151"/>
      <c r="Z22" s="151"/>
      <c r="AA22" s="151"/>
      <c r="AB22" s="151"/>
      <c r="AC22" s="151"/>
      <c r="AD22" s="151"/>
      <c r="AE22" s="151"/>
      <c r="AF22" s="151"/>
      <c r="AG22" s="152"/>
      <c r="AH22" s="291" t="s">
        <v>201</v>
      </c>
      <c r="AI22" s="292"/>
      <c r="AJ22" s="288"/>
      <c r="AK22" s="290"/>
      <c r="AL22" s="289"/>
    </row>
    <row r="23" spans="2:38" ht="24.6" customHeight="1" x14ac:dyDescent="0.35">
      <c r="C23" s="129" t="str">
        <f>IFERROR(VLOOKUP(D23,CONTROLS!$M$4:$N$13,2,FALSE),"")</f>
        <v/>
      </c>
      <c r="D23" s="269" t="s">
        <v>221</v>
      </c>
      <c r="E23" s="269"/>
      <c r="F23" s="269"/>
      <c r="G23" s="269"/>
      <c r="H23" s="269"/>
      <c r="I23" s="269"/>
      <c r="J23" s="269"/>
      <c r="K23" s="269"/>
      <c r="L23" s="269"/>
      <c r="M23" s="269"/>
      <c r="N23" s="270"/>
      <c r="O23" s="291" t="s">
        <v>201</v>
      </c>
      <c r="P23" s="292"/>
      <c r="Q23" s="288"/>
      <c r="R23" s="290"/>
      <c r="S23" s="289"/>
      <c r="T23" s="129" t="str">
        <f>IFERROR(VLOOKUP(U23,CONTROLS!$M$4:$N$13,2,FALSE),"")</f>
        <v/>
      </c>
      <c r="U23" s="153" t="s">
        <v>222</v>
      </c>
      <c r="V23" s="151"/>
      <c r="W23" s="151"/>
      <c r="X23" s="151"/>
      <c r="Y23" s="151"/>
      <c r="Z23" s="151"/>
      <c r="AA23" s="151"/>
      <c r="AB23" s="151"/>
      <c r="AC23" s="151"/>
      <c r="AD23" s="151"/>
      <c r="AE23" s="151"/>
      <c r="AF23" s="151"/>
      <c r="AG23" s="152"/>
      <c r="AH23" s="291" t="s">
        <v>201</v>
      </c>
      <c r="AI23" s="292"/>
      <c r="AJ23" s="291">
        <v>5420</v>
      </c>
      <c r="AK23" s="293"/>
      <c r="AL23" s="292"/>
    </row>
    <row r="24" spans="2:38" ht="24.6" customHeight="1" x14ac:dyDescent="0.35">
      <c r="C24" s="129" t="str">
        <f>IFERROR(VLOOKUP(D24,CONTROLS!$M$4:$N$13,2,FALSE),"")</f>
        <v/>
      </c>
      <c r="D24" s="269" t="s">
        <v>223</v>
      </c>
      <c r="E24" s="269"/>
      <c r="F24" s="269"/>
      <c r="G24" s="269"/>
      <c r="H24" s="269"/>
      <c r="I24" s="269"/>
      <c r="J24" s="269"/>
      <c r="K24" s="269"/>
      <c r="L24" s="269"/>
      <c r="M24" s="269"/>
      <c r="N24" s="270"/>
      <c r="O24" s="291" t="s">
        <v>201</v>
      </c>
      <c r="P24" s="292"/>
      <c r="Q24" s="288"/>
      <c r="R24" s="290"/>
      <c r="S24" s="289"/>
      <c r="T24" s="129" t="str">
        <f>IFERROR(VLOOKUP(U24,CONTROLS!$M$4:$N$13,2,FALSE),"")</f>
        <v/>
      </c>
      <c r="U24" s="151" t="s">
        <v>224</v>
      </c>
      <c r="V24" s="151"/>
      <c r="W24" s="151"/>
      <c r="X24" s="151"/>
      <c r="Y24" s="151"/>
      <c r="Z24" s="151"/>
      <c r="AA24" s="151"/>
      <c r="AB24" s="151"/>
      <c r="AC24" s="151"/>
      <c r="AD24" s="151"/>
      <c r="AE24" s="151"/>
      <c r="AF24" s="151"/>
      <c r="AG24" s="152"/>
      <c r="AH24" s="291" t="s">
        <v>201</v>
      </c>
      <c r="AI24" s="292"/>
      <c r="AJ24" s="291">
        <v>5928</v>
      </c>
      <c r="AK24" s="293"/>
      <c r="AL24" s="292"/>
    </row>
    <row r="25" spans="2:38" ht="24.6" customHeight="1" x14ac:dyDescent="0.35">
      <c r="C25" s="129" t="str">
        <f>IFERROR(VLOOKUP(D25,CONTROLS!$M$4:$N$13,2,FALSE),"")</f>
        <v/>
      </c>
      <c r="D25" s="269" t="s">
        <v>225</v>
      </c>
      <c r="E25" s="269"/>
      <c r="F25" s="269"/>
      <c r="G25" s="269"/>
      <c r="H25" s="269"/>
      <c r="I25" s="269"/>
      <c r="J25" s="269"/>
      <c r="K25" s="269"/>
      <c r="L25" s="269"/>
      <c r="M25" s="269"/>
      <c r="N25" s="270"/>
      <c r="O25" s="291" t="s">
        <v>201</v>
      </c>
      <c r="P25" s="292"/>
      <c r="Q25" s="291">
        <v>7611</v>
      </c>
      <c r="R25" s="293"/>
      <c r="S25" s="292"/>
      <c r="T25" s="129" t="str">
        <f>IFERROR(VLOOKUP(U25,CONTROLS!$M$4:$N$13,2,FALSE),"")</f>
        <v/>
      </c>
      <c r="U25" s="151" t="s">
        <v>226</v>
      </c>
      <c r="V25" s="151"/>
      <c r="W25" s="151"/>
      <c r="X25" s="151"/>
      <c r="Y25" s="151"/>
      <c r="Z25" s="151"/>
      <c r="AA25" s="151"/>
      <c r="AB25" s="151"/>
      <c r="AC25" s="151"/>
      <c r="AD25" s="151"/>
      <c r="AE25" s="151"/>
      <c r="AF25" s="151"/>
      <c r="AG25" s="152"/>
      <c r="AH25" s="291" t="s">
        <v>201</v>
      </c>
      <c r="AI25" s="292"/>
      <c r="AJ25" s="288"/>
      <c r="AK25" s="290"/>
      <c r="AL25" s="289"/>
    </row>
    <row r="26" spans="2:38" ht="24.6" customHeight="1" x14ac:dyDescent="0.35">
      <c r="C26" s="129" t="str">
        <f>IFERROR(VLOOKUP(D26,CONTROLS!$M$4:$N$13,2,FALSE),"")</f>
        <v/>
      </c>
      <c r="D26" s="269" t="s">
        <v>227</v>
      </c>
      <c r="E26" s="269"/>
      <c r="F26" s="269"/>
      <c r="G26" s="269"/>
      <c r="H26" s="269"/>
      <c r="I26" s="269"/>
      <c r="J26" s="269"/>
      <c r="K26" s="269"/>
      <c r="L26" s="269"/>
      <c r="M26" s="269"/>
      <c r="N26" s="270"/>
      <c r="O26" s="288"/>
      <c r="P26" s="289"/>
      <c r="Q26" s="288"/>
      <c r="R26" s="290"/>
      <c r="S26" s="289"/>
      <c r="T26" s="129" t="str">
        <f>IFERROR(VLOOKUP(U26,CONTROLS!$M$4:$N$13,2,FALSE),"")</f>
        <v/>
      </c>
      <c r="U26" s="151" t="s">
        <v>227</v>
      </c>
      <c r="V26" s="151"/>
      <c r="W26" s="151"/>
      <c r="X26" s="151"/>
      <c r="Y26" s="151"/>
      <c r="Z26" s="151"/>
      <c r="AA26" s="151"/>
      <c r="AB26" s="151"/>
      <c r="AC26" s="151"/>
      <c r="AD26" s="151"/>
      <c r="AE26" s="151"/>
      <c r="AF26" s="151"/>
      <c r="AG26" s="152"/>
      <c r="AH26" s="288"/>
      <c r="AI26" s="289"/>
      <c r="AJ26" s="288"/>
      <c r="AK26" s="290"/>
      <c r="AL26" s="289"/>
    </row>
    <row r="27" spans="2:38" ht="24.6" customHeight="1" x14ac:dyDescent="0.35">
      <c r="C27" s="121" t="str">
        <f>IFERROR(VLOOKUP(D27,CONTROLS!$M$4:$N$13,2,FALSE),"")</f>
        <v/>
      </c>
      <c r="D27" s="271"/>
      <c r="E27" s="271"/>
      <c r="F27" s="271"/>
      <c r="G27" s="271"/>
      <c r="H27" s="271"/>
      <c r="I27" s="271"/>
      <c r="J27" s="271"/>
      <c r="K27" s="271"/>
      <c r="L27" s="271"/>
      <c r="M27" s="271"/>
      <c r="N27" s="271"/>
      <c r="O27" s="294"/>
      <c r="P27" s="294"/>
      <c r="Q27" s="294"/>
      <c r="R27" s="294"/>
      <c r="S27" s="294"/>
      <c r="T27" s="121" t="str">
        <f>IFERROR(VLOOKUP(U27,CONTROLS!$M$4:$N$13,2,FALSE),"")</f>
        <v/>
      </c>
      <c r="U27" s="154"/>
      <c r="V27" s="154"/>
      <c r="W27" s="154"/>
      <c r="X27" s="154"/>
      <c r="Y27" s="154"/>
      <c r="Z27" s="154"/>
      <c r="AA27" s="154"/>
      <c r="AB27" s="154"/>
      <c r="AC27" s="154"/>
      <c r="AD27" s="154"/>
      <c r="AE27" s="154"/>
      <c r="AF27" s="154"/>
      <c r="AG27" s="154"/>
      <c r="AH27" s="294"/>
      <c r="AI27" s="294"/>
      <c r="AJ27" s="294"/>
      <c r="AK27" s="294"/>
      <c r="AL27" s="294"/>
    </row>
    <row r="28" spans="2:38" ht="24.6" customHeight="1" x14ac:dyDescent="0.35">
      <c r="C28" s="121" t="str">
        <f>IFERROR(VLOOKUP(D28,CONTROLS!$M$4:$N$13,2,FALSE),"")</f>
        <v/>
      </c>
      <c r="D28" s="271"/>
      <c r="E28" s="271"/>
      <c r="F28" s="271"/>
      <c r="G28" s="271"/>
      <c r="H28" s="271"/>
      <c r="I28" s="271"/>
      <c r="J28" s="271"/>
      <c r="K28" s="271"/>
      <c r="L28" s="271"/>
      <c r="M28" s="271"/>
      <c r="N28" s="271"/>
      <c r="O28" s="294"/>
      <c r="P28" s="294"/>
      <c r="Q28" s="294"/>
      <c r="R28" s="294"/>
      <c r="S28" s="294"/>
      <c r="T28" s="121" t="str">
        <f>IFERROR(VLOOKUP(U28,CONTROLS!$M$4:$N$13,2,FALSE),"")</f>
        <v/>
      </c>
      <c r="U28" s="154"/>
      <c r="V28" s="154"/>
      <c r="W28" s="154"/>
      <c r="X28" s="154"/>
      <c r="Y28" s="154"/>
      <c r="Z28" s="154"/>
      <c r="AA28" s="154"/>
      <c r="AB28" s="154"/>
      <c r="AC28" s="154"/>
      <c r="AD28" s="154"/>
      <c r="AE28" s="154"/>
      <c r="AF28" s="154"/>
      <c r="AG28" s="154"/>
      <c r="AH28" s="294"/>
      <c r="AI28" s="294"/>
      <c r="AJ28" s="294"/>
      <c r="AK28" s="294"/>
      <c r="AL28" s="294"/>
    </row>
    <row r="29" spans="2:38" ht="24.6" customHeight="1" x14ac:dyDescent="0.35">
      <c r="C29" s="121" t="str">
        <f>IFERROR(VLOOKUP(D29,CONTROLS!$M$4:$N$13,2,FALSE),"")</f>
        <v/>
      </c>
      <c r="D29" s="271"/>
      <c r="E29" s="271"/>
      <c r="F29" s="271"/>
      <c r="G29" s="271"/>
      <c r="H29" s="271"/>
      <c r="I29" s="271"/>
      <c r="J29" s="271"/>
      <c r="K29" s="271"/>
      <c r="L29" s="271"/>
      <c r="M29" s="271"/>
      <c r="N29" s="271"/>
      <c r="O29" s="294"/>
      <c r="P29" s="294"/>
      <c r="Q29" s="294"/>
      <c r="R29" s="294"/>
      <c r="S29" s="294"/>
      <c r="T29" s="121" t="str">
        <f>IFERROR(VLOOKUP(U29,CONTROLS!$M$4:$N$13,2,FALSE),"")</f>
        <v/>
      </c>
      <c r="U29" s="271"/>
      <c r="V29" s="271"/>
      <c r="W29" s="271"/>
      <c r="X29" s="271"/>
      <c r="Y29" s="271"/>
      <c r="Z29" s="271"/>
      <c r="AA29" s="271"/>
      <c r="AB29" s="271"/>
      <c r="AC29" s="271"/>
      <c r="AD29" s="271"/>
      <c r="AE29" s="271"/>
      <c r="AF29" s="271"/>
      <c r="AG29" s="271"/>
      <c r="AH29" s="294"/>
      <c r="AI29" s="294"/>
      <c r="AJ29" s="294"/>
      <c r="AK29" s="294"/>
      <c r="AL29" s="294"/>
    </row>
    <row r="30" spans="2:38" ht="12.6" customHeight="1" x14ac:dyDescent="0.35"/>
    <row r="31" spans="2:38" s="46" customFormat="1" ht="24" customHeight="1" x14ac:dyDescent="0.45">
      <c r="B31" s="45" t="s">
        <v>228</v>
      </c>
    </row>
    <row r="32" spans="2:38" s="49" customFormat="1" ht="21.6" customHeight="1" x14ac:dyDescent="0.35">
      <c r="C32" s="121" t="str">
        <f>IF(COUNTIF(E34:W34,"P")&gt;0,"P","")</f>
        <v/>
      </c>
      <c r="D32" s="49" t="s">
        <v>229</v>
      </c>
    </row>
    <row r="33" spans="1:38" s="49" customFormat="1" ht="7.7" customHeight="1" x14ac:dyDescent="0.35"/>
    <row r="34" spans="1:38" s="49" customFormat="1" ht="21.6" customHeight="1" x14ac:dyDescent="0.35">
      <c r="A34" s="105" t="str">
        <f>IF(COUNTIF(C32:C36,"P")=1,1,"")</f>
        <v/>
      </c>
      <c r="D34" s="123"/>
      <c r="E34" s="121" t="str">
        <f>IF(CONTROLS!F3=TRUE,"P","")</f>
        <v/>
      </c>
      <c r="F34" s="49" t="s">
        <v>230</v>
      </c>
      <c r="K34" s="121" t="str">
        <f>IF(CONTROLS!F4=TRUE,"P","")</f>
        <v/>
      </c>
      <c r="L34" s="49" t="s">
        <v>231</v>
      </c>
      <c r="Q34" s="121" t="str">
        <f>IF(CONTROLS!F5=TRUE,"P","")</f>
        <v/>
      </c>
      <c r="R34" s="49" t="s">
        <v>232</v>
      </c>
      <c r="W34" s="121" t="str">
        <f>IF(CONTROLS!F6=TRUE,"P","")</f>
        <v/>
      </c>
      <c r="X34" s="49" t="s">
        <v>233</v>
      </c>
    </row>
    <row r="35" spans="1:38" s="49" customFormat="1" ht="7.7" customHeight="1" x14ac:dyDescent="0.35"/>
    <row r="36" spans="1:38" s="49" customFormat="1" ht="21.6" customHeight="1" x14ac:dyDescent="0.35">
      <c r="C36" s="121" t="str">
        <f>IF(COUNTIF(E38:AC42,"P")&gt;0,"P","")</f>
        <v/>
      </c>
      <c r="D36" s="49" t="s">
        <v>234</v>
      </c>
    </row>
    <row r="37" spans="1:38" s="49" customFormat="1" ht="7.7" customHeight="1" x14ac:dyDescent="0.35"/>
    <row r="38" spans="1:38" s="49" customFormat="1" ht="21.6" customHeight="1" x14ac:dyDescent="0.35">
      <c r="E38" s="121" t="str">
        <f>IF(CONTROLS!F7=TRUE,"P","")</f>
        <v/>
      </c>
      <c r="F38" s="49" t="s">
        <v>235</v>
      </c>
      <c r="K38" s="121" t="str">
        <f>IF(CONTROLS!F8=TRUE,"P","")</f>
        <v/>
      </c>
      <c r="L38" s="49" t="s">
        <v>236</v>
      </c>
      <c r="W38" s="121" t="str">
        <f>IF(CONTROLS!F9=TRUE,"P","")</f>
        <v/>
      </c>
      <c r="X38" s="49" t="s">
        <v>237</v>
      </c>
      <c r="AC38" s="121" t="str">
        <f>IF(CONTROLS!F10=TRUE,"P","")</f>
        <v/>
      </c>
      <c r="AD38" s="49" t="s">
        <v>238</v>
      </c>
    </row>
    <row r="39" spans="1:38" s="49" customFormat="1" ht="7.7" customHeight="1" x14ac:dyDescent="0.35"/>
    <row r="40" spans="1:38" s="49" customFormat="1" ht="21.6" customHeight="1" x14ac:dyDescent="0.35">
      <c r="E40" s="121" t="str">
        <f>IF(CONTROLS!F11=TRUE,"P","")</f>
        <v/>
      </c>
      <c r="F40" s="49" t="s">
        <v>239</v>
      </c>
      <c r="W40" s="121" t="str">
        <f>IF(CONTROLS!F12=TRUE,"P","")</f>
        <v/>
      </c>
      <c r="X40" s="49" t="s">
        <v>240</v>
      </c>
    </row>
    <row r="41" spans="1:38" s="49" customFormat="1" ht="7.7" customHeight="1" x14ac:dyDescent="0.35"/>
    <row r="42" spans="1:38" s="49" customFormat="1" ht="21.6" customHeight="1" x14ac:dyDescent="0.35">
      <c r="E42" s="121" t="str">
        <f>IF(CONTROLS!F13=TRUE,"P","")</f>
        <v/>
      </c>
      <c r="F42" s="49" t="s">
        <v>241</v>
      </c>
      <c r="K42" s="121" t="str">
        <f>IF(CONTROLS!F14=TRUE,"P","")</f>
        <v/>
      </c>
      <c r="L42" s="49" t="s">
        <v>242</v>
      </c>
    </row>
    <row r="43" spans="1:38" ht="7.7" customHeight="1" x14ac:dyDescent="0.4"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  <c r="AJ43" s="50"/>
      <c r="AK43" s="50"/>
      <c r="AL43" s="50"/>
    </row>
    <row r="44" spans="1:38" s="52" customFormat="1" ht="21.6" customHeight="1" x14ac:dyDescent="0.25">
      <c r="B44" s="51" t="s">
        <v>243</v>
      </c>
    </row>
    <row r="45" spans="1:38" s="46" customFormat="1" ht="7.7" customHeight="1" x14ac:dyDescent="0.3"/>
    <row r="46" spans="1:38" s="49" customFormat="1" ht="21.6" customHeight="1" x14ac:dyDescent="0.35">
      <c r="C46" s="121" t="str">
        <f>IF(CONTROLS!F15=TRUE,"P","")</f>
        <v/>
      </c>
      <c r="D46" s="49" t="s">
        <v>229</v>
      </c>
      <c r="I46" s="121" t="str">
        <f>IF(CONTROLS!F16=TRUE,"P","")</f>
        <v/>
      </c>
      <c r="J46" s="49" t="s">
        <v>231</v>
      </c>
      <c r="N46" s="121" t="str">
        <f>IF(CONTROLS!F17=TRUE,"P","")</f>
        <v/>
      </c>
      <c r="O46" s="49" t="s">
        <v>241</v>
      </c>
      <c r="T46" s="121" t="str">
        <f>IF(CONTROLS!F18=TRUE,"P","")</f>
        <v/>
      </c>
      <c r="U46" s="49" t="s">
        <v>242</v>
      </c>
    </row>
    <row r="47" spans="1:38" s="49" customFormat="1" ht="7.7" customHeight="1" x14ac:dyDescent="0.35"/>
    <row r="48" spans="1:38" s="49" customFormat="1" ht="21.6" customHeight="1" x14ac:dyDescent="0.35">
      <c r="C48" s="121" t="str">
        <f>IF(CONTROLS!F19=TRUE,"P","")</f>
        <v/>
      </c>
      <c r="D48" s="49" t="s">
        <v>234</v>
      </c>
    </row>
    <row r="49" spans="2:38" s="49" customFormat="1" ht="7.7" customHeight="1" x14ac:dyDescent="0.35"/>
    <row r="50" spans="2:38" s="49" customFormat="1" ht="21.6" customHeight="1" x14ac:dyDescent="0.35">
      <c r="F50" s="121" t="str">
        <f>IF(CONTROLS!F20=TRUE,"P","")</f>
        <v/>
      </c>
      <c r="G50" s="49" t="s">
        <v>244</v>
      </c>
      <c r="K50" s="121" t="str">
        <f>IF(CONTROLS!F21=TRUE,"P","")</f>
        <v/>
      </c>
      <c r="L50" s="49" t="s">
        <v>245</v>
      </c>
    </row>
    <row r="51" spans="2:38" ht="7.7" customHeight="1" x14ac:dyDescent="0.4"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</row>
    <row r="52" spans="2:38" s="46" customFormat="1" ht="21.6" customHeight="1" x14ac:dyDescent="0.3">
      <c r="B52" s="53" t="s">
        <v>246</v>
      </c>
      <c r="AL52" s="54"/>
    </row>
    <row r="53" spans="2:38" s="46" customFormat="1" ht="7.7" customHeight="1" x14ac:dyDescent="0.3"/>
    <row r="54" spans="2:38" s="49" customFormat="1" ht="21.6" customHeight="1" x14ac:dyDescent="0.35">
      <c r="C54" s="121" t="str">
        <f>IF(CONTROLS!F22=TRUE,"P","")</f>
        <v/>
      </c>
      <c r="D54" s="49" t="s">
        <v>229</v>
      </c>
      <c r="G54" s="121" t="str">
        <f>IF(CONTROLS!F23=TRUE,"P","")</f>
        <v/>
      </c>
      <c r="H54" s="49" t="s">
        <v>247</v>
      </c>
    </row>
    <row r="55" spans="2:38" s="49" customFormat="1" ht="7.7" customHeight="1" x14ac:dyDescent="0.35"/>
    <row r="56" spans="2:38" s="49" customFormat="1" ht="21.6" customHeight="1" x14ac:dyDescent="0.4">
      <c r="B56" s="55" t="s">
        <v>248</v>
      </c>
    </row>
    <row r="57" spans="2:38" s="49" customFormat="1" ht="18" customHeight="1" x14ac:dyDescent="0.35"/>
    <row r="58" spans="2:38" s="56" customFormat="1" ht="21.6" customHeight="1" x14ac:dyDescent="0.35">
      <c r="B58" s="56" t="s">
        <v>249</v>
      </c>
    </row>
    <row r="59" spans="2:38" ht="21" customHeight="1" x14ac:dyDescent="0.35"/>
    <row r="60" spans="2:38" s="54" customFormat="1" ht="23.45" customHeight="1" x14ac:dyDescent="0.25">
      <c r="B60" s="57" t="s">
        <v>250</v>
      </c>
      <c r="C60" s="53"/>
    </row>
    <row r="61" spans="2:38" s="60" customFormat="1" ht="23.45" customHeight="1" x14ac:dyDescent="0.25">
      <c r="B61" s="58" t="s">
        <v>251</v>
      </c>
      <c r="C61" s="59"/>
    </row>
    <row r="62" spans="2:38" s="60" customFormat="1" ht="23.45" customHeight="1" x14ac:dyDescent="0.25">
      <c r="B62" s="58" t="s">
        <v>252</v>
      </c>
      <c r="C62" s="59"/>
    </row>
    <row r="63" spans="2:38" s="60" customFormat="1" ht="23.45" customHeight="1" x14ac:dyDescent="0.25">
      <c r="B63" s="58" t="s">
        <v>253</v>
      </c>
      <c r="C63" s="59"/>
    </row>
    <row r="64" spans="2:38" s="63" customFormat="1" ht="23.45" customHeight="1" x14ac:dyDescent="0.25">
      <c r="B64" s="61" t="s">
        <v>254</v>
      </c>
      <c r="C64" s="62"/>
      <c r="AB64" s="121" t="str">
        <f>IF(CONTROLS!F24=TRUE,"P","")</f>
        <v/>
      </c>
      <c r="AC64" s="63" t="s">
        <v>71</v>
      </c>
      <c r="AF64" s="121" t="str">
        <f>IF(CONTROLS!F25=TRUE,"P","")</f>
        <v/>
      </c>
      <c r="AG64" s="63" t="s">
        <v>54</v>
      </c>
    </row>
    <row r="65" spans="1:38" s="63" customFormat="1" ht="23.45" customHeight="1" x14ac:dyDescent="0.25">
      <c r="B65" s="61" t="s">
        <v>255</v>
      </c>
      <c r="C65" s="62"/>
      <c r="N65" s="268" t="str">
        <f>IF('CP-1'!B31="","",'CP-1'!B31)</f>
        <v xml:space="preserve">El alcance del Sistema de Calidad de Invisibles Systems MX, es la producción, programación prueba, inspección y envío de sensores de traqueo de múltiples familias. </v>
      </c>
      <c r="O65" s="268"/>
      <c r="P65" s="268"/>
      <c r="Q65" s="268"/>
      <c r="R65" s="268"/>
      <c r="S65" s="268"/>
      <c r="T65" s="268"/>
      <c r="U65" s="268"/>
      <c r="V65" s="268"/>
      <c r="W65" s="268"/>
      <c r="X65" s="268"/>
      <c r="Y65" s="268"/>
      <c r="Z65" s="268"/>
      <c r="AA65" s="268"/>
      <c r="AB65" s="268"/>
      <c r="AC65" s="268"/>
      <c r="AD65" s="268"/>
      <c r="AE65" s="268"/>
      <c r="AF65" s="268"/>
      <c r="AG65" s="268"/>
      <c r="AH65" s="268"/>
      <c r="AI65" s="268"/>
      <c r="AJ65" s="268"/>
      <c r="AK65" s="268"/>
      <c r="AL65" s="268"/>
    </row>
    <row r="66" spans="1:38" s="63" customFormat="1" ht="23.45" customHeight="1" x14ac:dyDescent="0.25">
      <c r="B66" s="61" t="s">
        <v>256</v>
      </c>
      <c r="C66" s="62"/>
    </row>
    <row r="67" spans="1:38" ht="7.35" customHeight="1" x14ac:dyDescent="0.35">
      <c r="B67" s="46"/>
    </row>
    <row r="68" spans="1:38" s="49" customFormat="1" ht="21" customHeight="1" x14ac:dyDescent="0.35">
      <c r="A68" s="108">
        <f>IF(AND(IF(G68="P",1,"")=1,M68=""),"",1)</f>
        <v>1</v>
      </c>
      <c r="B68" s="115" t="str">
        <f>IF(COUNTIF(C68:I68,"P")=0,"",COUNTIF(C68:I68,"P"))</f>
        <v/>
      </c>
      <c r="C68" s="121" t="str">
        <f>IF(CONTROLS!F26=TRUE,"P","")</f>
        <v/>
      </c>
      <c r="D68" s="49" t="s">
        <v>71</v>
      </c>
      <c r="G68" s="121" t="str">
        <f>IF(CONTROLS!F27=TRUE,"P","")</f>
        <v/>
      </c>
      <c r="H68" s="49" t="s">
        <v>257</v>
      </c>
      <c r="M68" s="264"/>
      <c r="N68" s="264"/>
      <c r="O68" s="264"/>
      <c r="P68" s="264"/>
      <c r="Q68" s="264"/>
      <c r="R68" s="264"/>
      <c r="S68" s="264"/>
      <c r="T68" s="264"/>
      <c r="U68" s="264"/>
      <c r="V68" s="264"/>
      <c r="W68" s="264"/>
      <c r="X68" s="264"/>
      <c r="Y68" s="264"/>
      <c r="Z68" s="264"/>
      <c r="AA68" s="264"/>
      <c r="AB68" s="264"/>
      <c r="AC68" s="264"/>
      <c r="AD68" s="264"/>
      <c r="AE68" s="264"/>
      <c r="AF68" s="264"/>
      <c r="AG68" s="264"/>
      <c r="AH68" s="264"/>
      <c r="AI68" s="264"/>
      <c r="AJ68" s="264"/>
      <c r="AK68" s="264"/>
      <c r="AL68" s="264"/>
    </row>
    <row r="69" spans="1:38" s="49" customFormat="1" ht="7.35" customHeight="1" x14ac:dyDescent="0.35"/>
    <row r="70" spans="1:38" s="49" customFormat="1" ht="21" customHeight="1" x14ac:dyDescent="0.35">
      <c r="C70" s="121" t="str">
        <f>IF(CONTROLS!F28=TRUE,"P","")</f>
        <v/>
      </c>
      <c r="D70" s="49" t="s">
        <v>258</v>
      </c>
      <c r="L70" s="121" t="str">
        <f>IF(CONTROLS!F29=TRUE,"P","")</f>
        <v/>
      </c>
      <c r="M70" s="49" t="s">
        <v>259</v>
      </c>
      <c r="V70" s="121" t="str">
        <f>IF(CONTROLS!F30=TRUE,"P","")</f>
        <v/>
      </c>
      <c r="W70" s="49" t="s">
        <v>260</v>
      </c>
    </row>
    <row r="71" spans="1:38" ht="7.35" customHeight="1" x14ac:dyDescent="0.35"/>
    <row r="72" spans="1:38" ht="22.7" customHeight="1" x14ac:dyDescent="0.35">
      <c r="B72" s="64"/>
      <c r="C72" s="49"/>
      <c r="K72" s="265" t="str">
        <f>IF('CP-1'!B37="","",'CP-1'!B37)</f>
        <v>Inspeccion de Recibo, Almacen,  Produccion, Recursos Humanos, Compras, Calidad, Embarques, Ingenieria, 
Planeación y Control de Producción, Mantenimiento.</v>
      </c>
      <c r="L72" s="265"/>
      <c r="M72" s="265"/>
      <c r="N72" s="265"/>
      <c r="O72" s="265"/>
      <c r="P72" s="265"/>
      <c r="Q72" s="265"/>
      <c r="R72" s="265"/>
      <c r="S72" s="265"/>
      <c r="T72" s="265"/>
      <c r="U72" s="265"/>
      <c r="V72" s="265"/>
      <c r="W72" s="265"/>
      <c r="X72" s="265"/>
      <c r="Y72" s="265"/>
      <c r="Z72" s="265"/>
      <c r="AA72" s="265"/>
      <c r="AB72" s="265"/>
      <c r="AC72" s="265"/>
      <c r="AD72" s="265"/>
      <c r="AE72" s="265"/>
      <c r="AF72" s="265"/>
      <c r="AG72" s="265"/>
      <c r="AH72" s="265"/>
      <c r="AI72" s="265"/>
      <c r="AJ72" s="265"/>
      <c r="AK72" s="265"/>
      <c r="AL72" s="265"/>
    </row>
    <row r="73" spans="1:38" ht="22.7" customHeight="1" x14ac:dyDescent="0.35">
      <c r="B73" s="65" t="s">
        <v>261</v>
      </c>
      <c r="C73" s="49"/>
      <c r="G73" s="265" t="str">
        <f>IF('CP-5 14001-45001-OSHAS'!A7="","",'CP-5 14001-45001-OSHAS'!A7)</f>
        <v xml:space="preserve">	8.3 El diseño y desarrollo de los Requerimientos del ISO 9001:2015 ha sido excluido debido a que Invisibles Systems no desarrolla el diseño de producto.
	8.5.3 Adicionalmente Invisibles Systems MX no cuenta con equipo propiedad del cliente, debido a que todo el equipo es propiedad de Trackonomy Systems.
</v>
      </c>
      <c r="H73" s="265"/>
      <c r="I73" s="265"/>
      <c r="J73" s="265"/>
      <c r="K73" s="265"/>
      <c r="L73" s="265"/>
      <c r="M73" s="265"/>
      <c r="N73" s="265"/>
      <c r="O73" s="265"/>
      <c r="P73" s="265"/>
      <c r="Q73" s="265"/>
      <c r="R73" s="265"/>
      <c r="S73" s="265"/>
      <c r="T73" s="265"/>
      <c r="U73" s="265"/>
      <c r="V73" s="265"/>
      <c r="W73" s="265"/>
      <c r="X73" s="265"/>
      <c r="Y73" s="265"/>
      <c r="Z73" s="265"/>
      <c r="AA73" s="265"/>
      <c r="AB73" s="265"/>
      <c r="AC73" s="265"/>
      <c r="AD73" s="265"/>
      <c r="AE73" s="265"/>
      <c r="AF73" s="265"/>
      <c r="AG73" s="265"/>
      <c r="AH73" s="265"/>
      <c r="AI73" s="265"/>
      <c r="AJ73" s="265"/>
      <c r="AK73" s="265"/>
      <c r="AL73" s="265"/>
    </row>
    <row r="74" spans="1:38" ht="22.7" customHeight="1" x14ac:dyDescent="0.35">
      <c r="B74" s="65" t="s">
        <v>262</v>
      </c>
      <c r="C74" s="49"/>
      <c r="L74" s="121" t="str">
        <f>IF(CONTROLS!F31=TRUE,"P","")</f>
        <v/>
      </c>
      <c r="M74" s="49" t="s">
        <v>71</v>
      </c>
      <c r="Q74" s="121" t="str">
        <f>IF(CONTROLS!F32=TRUE,"P","")</f>
        <v/>
      </c>
      <c r="R74" s="49" t="s">
        <v>263</v>
      </c>
      <c r="S74" s="49"/>
      <c r="V74" s="49"/>
      <c r="W74" s="49"/>
      <c r="X74" s="49"/>
      <c r="Y74" s="49"/>
      <c r="Z74" s="49"/>
      <c r="AA74" s="49"/>
      <c r="AB74" s="49"/>
    </row>
    <row r="75" spans="1:38" ht="7.35" customHeight="1" x14ac:dyDescent="0.35">
      <c r="B75" s="65"/>
      <c r="C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</row>
    <row r="76" spans="1:38" ht="22.7" customHeight="1" x14ac:dyDescent="0.35">
      <c r="B76" s="65" t="s">
        <v>264</v>
      </c>
      <c r="C76" s="49"/>
      <c r="K76" s="121" t="str">
        <f>IF(COUNTIF('CP-4'!T58:T66,"P")=6,"P","")</f>
        <v/>
      </c>
      <c r="L76" s="49" t="s">
        <v>71</v>
      </c>
      <c r="N76" s="121" t="str">
        <f>IF('CP-1'!F4="","",(IF(COUNTIF('CP-4'!T58:V66,"P")=0,"P",IF(COUNTIF('CP-4'!T58:T66,"P")&lt;6,"P",""))))</f>
        <v>P</v>
      </c>
      <c r="O76" s="49" t="s">
        <v>54</v>
      </c>
      <c r="R76" s="49"/>
      <c r="S76" s="49"/>
      <c r="T76" s="49"/>
      <c r="U76" s="49"/>
      <c r="V76" s="49"/>
      <c r="W76" s="49"/>
      <c r="X76" s="49"/>
      <c r="Y76" s="49"/>
    </row>
    <row r="77" spans="1:38" ht="7.35" customHeight="1" x14ac:dyDescent="0.35">
      <c r="B77" s="65"/>
      <c r="C77" s="49"/>
    </row>
    <row r="78" spans="1:38" ht="22.7" customHeight="1" x14ac:dyDescent="0.35">
      <c r="B78" s="65" t="s">
        <v>265</v>
      </c>
      <c r="C78" s="49"/>
      <c r="I78" s="265">
        <f>IF(('CP-2'!H45+'CP-2'!H46+'CP-2'!J45+'CP-2'!J46+'CP-2'!N45+'CP-2'!N46+'CP-2'!P45+'CP-2'!P46+'CP-2'!U45+'CP-2'!U46+'CP-2'!W45+'CP-2'!W46)=0,"",'CP-2'!H45+'CP-2'!H46+'CP-2'!J45+'CP-2'!J46+'CP-2'!N45+'CP-2'!N46+'CP-2'!P45+'CP-2'!P46+'CP-2'!U45+'CP-2'!U46+'CP-2'!W45+'CP-2'!W46)</f>
        <v>143</v>
      </c>
      <c r="J78" s="265"/>
      <c r="K78" s="265"/>
      <c r="L78" s="65" t="s">
        <v>266</v>
      </c>
      <c r="M78" s="49"/>
      <c r="N78" s="49"/>
      <c r="O78" s="49"/>
      <c r="P78" s="49"/>
      <c r="Q78" s="49"/>
      <c r="R78" s="49"/>
      <c r="S78" s="49"/>
      <c r="T78" s="49"/>
      <c r="U78" s="266"/>
      <c r="V78" s="266"/>
      <c r="W78" s="266"/>
      <c r="X78" s="266"/>
      <c r="Y78" s="49"/>
      <c r="Z78" s="49"/>
      <c r="AA78" s="65" t="s">
        <v>267</v>
      </c>
      <c r="AB78" s="49"/>
      <c r="AC78" s="267">
        <f>IF(MAX(CONTROLS!Q15:Q16)=0,"",MAX(CONTROLS!Q15:Q16))</f>
        <v>1</v>
      </c>
      <c r="AD78" s="267"/>
      <c r="AE78" s="267"/>
      <c r="AF78" s="267"/>
    </row>
    <row r="79" spans="1:38" ht="30" customHeight="1" x14ac:dyDescent="0.35">
      <c r="B79" s="49"/>
      <c r="C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</row>
    <row r="80" spans="1:38" s="46" customFormat="1" ht="22.7" customHeight="1" x14ac:dyDescent="0.35">
      <c r="B80" s="65" t="s">
        <v>268</v>
      </c>
      <c r="C80" s="65"/>
      <c r="L80" s="65"/>
      <c r="M80" s="65"/>
      <c r="N80" s="65"/>
      <c r="O80" s="65"/>
      <c r="P80" s="65"/>
      <c r="Q80" s="65"/>
      <c r="R80" s="65"/>
      <c r="S80" s="65"/>
      <c r="T80" s="65"/>
      <c r="U80" s="264"/>
      <c r="V80" s="264"/>
      <c r="W80" s="264"/>
      <c r="X80" s="264"/>
      <c r="Y80" s="264"/>
      <c r="Z80" s="264"/>
      <c r="AA80" s="264"/>
      <c r="AB80" s="264"/>
      <c r="AC80" s="264"/>
      <c r="AD80" s="264"/>
      <c r="AE80" s="264"/>
      <c r="AF80" s="264"/>
      <c r="AG80" s="264"/>
      <c r="AH80" s="264"/>
      <c r="AI80" s="264"/>
      <c r="AJ80" s="264"/>
      <c r="AK80" s="264"/>
      <c r="AL80" s="264"/>
    </row>
    <row r="81" spans="1:38" s="46" customFormat="1" ht="7.35" customHeight="1" x14ac:dyDescent="0.3">
      <c r="B81" s="65"/>
    </row>
    <row r="82" spans="1:38" s="49" customFormat="1" ht="21" customHeight="1" x14ac:dyDescent="0.35">
      <c r="A82" s="116" t="str">
        <f>IF(COUNTIF(C82:O82,"P")=0,"",COUNTIF(C82:O82,"P"))</f>
        <v/>
      </c>
      <c r="B82" s="116">
        <f>IF(AND(IF(O82="P",1,"")=1,AC82=""),"",1)</f>
        <v>1</v>
      </c>
      <c r="C82" s="121" t="str">
        <f>IF(CONTROLS!F35=TRUE,"P","")</f>
        <v/>
      </c>
      <c r="D82" s="49" t="s">
        <v>269</v>
      </c>
      <c r="O82" s="121" t="str">
        <f>IF(CONTROLS!F36=TRUE,"P","")</f>
        <v/>
      </c>
      <c r="P82" s="267" t="s">
        <v>270</v>
      </c>
      <c r="Q82" s="267"/>
      <c r="R82" s="267"/>
      <c r="S82" s="267"/>
      <c r="T82" s="267"/>
      <c r="U82" s="267"/>
      <c r="V82" s="267"/>
      <c r="W82" s="267"/>
      <c r="X82" s="267"/>
      <c r="Y82" s="267"/>
      <c r="Z82" s="267"/>
      <c r="AA82" s="267"/>
      <c r="AB82" s="267"/>
      <c r="AC82" s="264"/>
      <c r="AD82" s="264"/>
      <c r="AE82" s="264"/>
      <c r="AF82" s="264"/>
      <c r="AG82" s="264"/>
      <c r="AH82" s="264"/>
      <c r="AI82" s="264"/>
      <c r="AJ82" s="264"/>
      <c r="AK82" s="264"/>
      <c r="AL82" s="264"/>
    </row>
    <row r="83" spans="1:38" ht="13.35" customHeight="1" x14ac:dyDescent="0.35"/>
    <row r="84" spans="1:38" ht="13.35" customHeight="1" x14ac:dyDescent="0.35"/>
    <row r="85" spans="1:38" x14ac:dyDescent="0.35">
      <c r="C85" s="63"/>
      <c r="E85" s="63"/>
      <c r="F85" s="63"/>
      <c r="H85" s="63" t="s">
        <v>271</v>
      </c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</row>
    <row r="86" spans="1:38" x14ac:dyDescent="0.35">
      <c r="H86" s="44" t="s">
        <v>272</v>
      </c>
      <c r="P86" s="44" t="s">
        <v>273</v>
      </c>
    </row>
  </sheetData>
  <sheetProtection algorithmName="SHA-512" hashValue="jenr7xy7k0VnFJmFl0u5JrEGkf/KfncLRl2GjQGUXq23eMg0CyO4oItt7FNge1HVNefh3vmnL5Sv54x5z93Hhg==" saltValue="9/qZH11rWc5T5E2ap7reqg==" spinCount="100000" sheet="1" objects="1" scenarios="1"/>
  <mergeCells count="124">
    <mergeCell ref="O27:P27"/>
    <mergeCell ref="Q27:S27"/>
    <mergeCell ref="AH27:AI27"/>
    <mergeCell ref="AJ27:AL27"/>
    <mergeCell ref="O28:P28"/>
    <mergeCell ref="Q28:S28"/>
    <mergeCell ref="AH28:AI28"/>
    <mergeCell ref="AJ28:AL28"/>
    <mergeCell ref="O29:P29"/>
    <mergeCell ref="Q29:S29"/>
    <mergeCell ref="AH29:AI29"/>
    <mergeCell ref="AJ29:AL29"/>
    <mergeCell ref="U29:AG29"/>
    <mergeCell ref="O24:P24"/>
    <mergeCell ref="Q24:S24"/>
    <mergeCell ref="AH24:AI24"/>
    <mergeCell ref="AJ24:AL24"/>
    <mergeCell ref="O25:P25"/>
    <mergeCell ref="Q25:S25"/>
    <mergeCell ref="AH25:AI25"/>
    <mergeCell ref="AJ25:AL25"/>
    <mergeCell ref="O26:P26"/>
    <mergeCell ref="Q26:S26"/>
    <mergeCell ref="AH26:AI26"/>
    <mergeCell ref="AJ26:AL26"/>
    <mergeCell ref="O21:P21"/>
    <mergeCell ref="Q21:S21"/>
    <mergeCell ref="AH21:AI21"/>
    <mergeCell ref="AJ21:AL21"/>
    <mergeCell ref="O22:P22"/>
    <mergeCell ref="Q22:S22"/>
    <mergeCell ref="AH22:AI22"/>
    <mergeCell ref="AJ22:AL22"/>
    <mergeCell ref="O23:P23"/>
    <mergeCell ref="Q23:S23"/>
    <mergeCell ref="AH23:AI23"/>
    <mergeCell ref="AJ23:AL23"/>
    <mergeCell ref="O18:P18"/>
    <mergeCell ref="Q18:S18"/>
    <mergeCell ref="AH18:AI18"/>
    <mergeCell ref="AJ18:AL18"/>
    <mergeCell ref="O19:P19"/>
    <mergeCell ref="Q19:S19"/>
    <mergeCell ref="AH19:AI19"/>
    <mergeCell ref="AJ19:AL19"/>
    <mergeCell ref="O20:P20"/>
    <mergeCell ref="Q20:S20"/>
    <mergeCell ref="AH20:AI20"/>
    <mergeCell ref="AJ20:AL20"/>
    <mergeCell ref="O15:P15"/>
    <mergeCell ref="Q15:S15"/>
    <mergeCell ref="AH15:AI15"/>
    <mergeCell ref="AJ15:AL15"/>
    <mergeCell ref="O16:P16"/>
    <mergeCell ref="Q16:S16"/>
    <mergeCell ref="AH16:AI16"/>
    <mergeCell ref="AJ16:AL16"/>
    <mergeCell ref="O17:P17"/>
    <mergeCell ref="Q17:S17"/>
    <mergeCell ref="AH17:AI17"/>
    <mergeCell ref="AJ17:AL17"/>
    <mergeCell ref="O12:P12"/>
    <mergeCell ref="Q12:S12"/>
    <mergeCell ref="AH12:AI12"/>
    <mergeCell ref="AJ12:AL12"/>
    <mergeCell ref="O13:P13"/>
    <mergeCell ref="Q13:S13"/>
    <mergeCell ref="AH13:AI13"/>
    <mergeCell ref="AJ13:AL13"/>
    <mergeCell ref="O14:P14"/>
    <mergeCell ref="Q14:S14"/>
    <mergeCell ref="AH14:AI14"/>
    <mergeCell ref="AJ14:AL14"/>
    <mergeCell ref="O10:P10"/>
    <mergeCell ref="Q10:S10"/>
    <mergeCell ref="AH10:AI10"/>
    <mergeCell ref="AJ10:AL10"/>
    <mergeCell ref="O11:P11"/>
    <mergeCell ref="Q11:S11"/>
    <mergeCell ref="AH11:AI11"/>
    <mergeCell ref="AJ11:AL11"/>
    <mergeCell ref="U10:AG10"/>
    <mergeCell ref="U11:AG11"/>
    <mergeCell ref="B2:AL2"/>
    <mergeCell ref="C7:AL7"/>
    <mergeCell ref="C8:AL8"/>
    <mergeCell ref="D9:N9"/>
    <mergeCell ref="O9:P9"/>
    <mergeCell ref="Q9:S9"/>
    <mergeCell ref="U9:AG9"/>
    <mergeCell ref="AH9:AI9"/>
    <mergeCell ref="AJ9:AL9"/>
    <mergeCell ref="G5:AL5"/>
    <mergeCell ref="I4:AL4"/>
    <mergeCell ref="D15:N15"/>
    <mergeCell ref="D16:N16"/>
    <mergeCell ref="D17:N17"/>
    <mergeCell ref="D18:N18"/>
    <mergeCell ref="D19:N19"/>
    <mergeCell ref="D10:N10"/>
    <mergeCell ref="D11:N11"/>
    <mergeCell ref="D12:N12"/>
    <mergeCell ref="D13:N13"/>
    <mergeCell ref="D14:N14"/>
    <mergeCell ref="D25:N25"/>
    <mergeCell ref="D26:N26"/>
    <mergeCell ref="D27:N27"/>
    <mergeCell ref="D28:N28"/>
    <mergeCell ref="D29:N29"/>
    <mergeCell ref="D20:N20"/>
    <mergeCell ref="D21:N21"/>
    <mergeCell ref="D22:N22"/>
    <mergeCell ref="D23:N23"/>
    <mergeCell ref="D24:N24"/>
    <mergeCell ref="U80:AL80"/>
    <mergeCell ref="AC82:AL82"/>
    <mergeCell ref="G73:AL73"/>
    <mergeCell ref="K72:AL72"/>
    <mergeCell ref="I78:K78"/>
    <mergeCell ref="U78:X78"/>
    <mergeCell ref="AC78:AF78"/>
    <mergeCell ref="N65:AL65"/>
    <mergeCell ref="M68:AL68"/>
    <mergeCell ref="P82:AB82"/>
  </mergeCells>
  <conditionalFormatting sqref="M68:AL68">
    <cfRule type="notContainsBlanks" dxfId="86" priority="31">
      <formula>LEN(TRIM(M68))&gt;0</formula>
    </cfRule>
    <cfRule type="expression" dxfId="85" priority="32">
      <formula>$G$68="P"</formula>
    </cfRule>
  </conditionalFormatting>
  <conditionalFormatting sqref="AC82:AL82">
    <cfRule type="notContainsBlanks" dxfId="84" priority="29">
      <formula>LEN(TRIM(AC82))&gt;0</formula>
    </cfRule>
    <cfRule type="expression" dxfId="83" priority="30">
      <formula>$O$82="P"</formula>
    </cfRule>
  </conditionalFormatting>
  <conditionalFormatting sqref="U78:X78">
    <cfRule type="notContainsBlanks" dxfId="82" priority="25">
      <formula>LEN(TRIM(U78))&gt;0</formula>
    </cfRule>
  </conditionalFormatting>
  <conditionalFormatting sqref="O10:P10">
    <cfRule type="expression" dxfId="81" priority="24">
      <formula>$C10="P"</formula>
    </cfRule>
    <cfRule type="notContainsBlanks" dxfId="80" priority="23">
      <formula>LEN(TRIM(O10))&gt;0</formula>
    </cfRule>
  </conditionalFormatting>
  <conditionalFormatting sqref="Q10:S10">
    <cfRule type="expression" dxfId="79" priority="22">
      <formula>$C10="P"</formula>
    </cfRule>
    <cfRule type="notContainsBlanks" dxfId="78" priority="21">
      <formula>LEN(TRIM(Q10))&gt;0</formula>
    </cfRule>
  </conditionalFormatting>
  <conditionalFormatting sqref="O11:P25 O27:P29">
    <cfRule type="notContainsBlanks" dxfId="77" priority="19">
      <formula>LEN(TRIM(O11))&gt;0</formula>
    </cfRule>
    <cfRule type="expression" dxfId="76" priority="20">
      <formula>$C11="P"</formula>
    </cfRule>
  </conditionalFormatting>
  <conditionalFormatting sqref="Q11:S25 Q27:S29">
    <cfRule type="notContainsBlanks" dxfId="75" priority="17">
      <formula>LEN(TRIM(Q11))&gt;0</formula>
    </cfRule>
    <cfRule type="expression" dxfId="74" priority="18">
      <formula>$C11="P"</formula>
    </cfRule>
  </conditionalFormatting>
  <conditionalFormatting sqref="AH10:AI10">
    <cfRule type="notContainsBlanks" dxfId="73" priority="15">
      <formula>LEN(TRIM(AH10))&gt;0</formula>
    </cfRule>
    <cfRule type="expression" dxfId="72" priority="16">
      <formula>$T10="P"</formula>
    </cfRule>
  </conditionalFormatting>
  <conditionalFormatting sqref="AJ10:AL10">
    <cfRule type="notContainsBlanks" dxfId="71" priority="13">
      <formula>LEN(TRIM(AJ10))&gt;0</formula>
    </cfRule>
    <cfRule type="expression" dxfId="70" priority="14">
      <formula>$T10="P"</formula>
    </cfRule>
  </conditionalFormatting>
  <conditionalFormatting sqref="AH11:AI25 AH27:AI29">
    <cfRule type="notContainsBlanks" dxfId="69" priority="11">
      <formula>LEN(TRIM(AH11))&gt;0</formula>
    </cfRule>
    <cfRule type="expression" dxfId="68" priority="12">
      <formula>$T11="P"</formula>
    </cfRule>
  </conditionalFormatting>
  <conditionalFormatting sqref="AJ11:AL25 AJ27:AL29">
    <cfRule type="notContainsBlanks" dxfId="67" priority="9">
      <formula>LEN(TRIM(AJ11))&gt;0</formula>
    </cfRule>
    <cfRule type="expression" dxfId="66" priority="10">
      <formula>$T11="P"</formula>
    </cfRule>
  </conditionalFormatting>
  <conditionalFormatting sqref="O26:P26">
    <cfRule type="notContainsBlanks" dxfId="65" priority="7">
      <formula>LEN(TRIM(O26))&gt;0</formula>
    </cfRule>
    <cfRule type="expression" dxfId="64" priority="8">
      <formula>$C26="P"</formula>
    </cfRule>
  </conditionalFormatting>
  <conditionalFormatting sqref="Q26:S26">
    <cfRule type="notContainsBlanks" dxfId="63" priority="5">
      <formula>LEN(TRIM(Q26))&gt;0</formula>
    </cfRule>
    <cfRule type="expression" dxfId="62" priority="6">
      <formula>$C26="P"</formula>
    </cfRule>
  </conditionalFormatting>
  <conditionalFormatting sqref="AH26:AI26">
    <cfRule type="notContainsBlanks" dxfId="61" priority="3">
      <formula>LEN(TRIM(AH26))&gt;0</formula>
    </cfRule>
    <cfRule type="expression" dxfId="60" priority="4">
      <formula>$T26="P"</formula>
    </cfRule>
  </conditionalFormatting>
  <conditionalFormatting sqref="AJ26:AL26">
    <cfRule type="notContainsBlanks" dxfId="59" priority="1">
      <formula>LEN(TRIM(AJ26))&gt;0</formula>
    </cfRule>
    <cfRule type="expression" dxfId="58" priority="2">
      <formula>$T26="P"</formula>
    </cfRule>
  </conditionalFormatting>
  <pageMargins left="1" right="0.7" top="0.2" bottom="0.15" header="0.3" footer="0.3"/>
  <pageSetup scale="4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Check Box 1">
              <controlPr defaultSize="0" print="0" autoFill="0" autoLine="0" autoPict="0">
                <anchor moveWithCells="1">
                  <from>
                    <xdr:col>4</xdr:col>
                    <xdr:colOff>85725</xdr:colOff>
                    <xdr:row>33</xdr:row>
                    <xdr:rowOff>28575</xdr:rowOff>
                  </from>
                  <to>
                    <xdr:col>4</xdr:col>
                    <xdr:colOff>333375</xdr:colOff>
                    <xdr:row>33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Check Box 3">
              <controlPr defaultSize="0" print="0" autoFill="0" autoLine="0" autoPict="0">
                <anchor moveWithCells="1">
                  <from>
                    <xdr:col>10</xdr:col>
                    <xdr:colOff>85725</xdr:colOff>
                    <xdr:row>33</xdr:row>
                    <xdr:rowOff>28575</xdr:rowOff>
                  </from>
                  <to>
                    <xdr:col>10</xdr:col>
                    <xdr:colOff>333375</xdr:colOff>
                    <xdr:row>33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Check Box 4">
              <controlPr defaultSize="0" print="0" autoFill="0" autoLine="0" autoPict="0">
                <anchor moveWithCells="1">
                  <from>
                    <xdr:col>16</xdr:col>
                    <xdr:colOff>85725</xdr:colOff>
                    <xdr:row>33</xdr:row>
                    <xdr:rowOff>28575</xdr:rowOff>
                  </from>
                  <to>
                    <xdr:col>16</xdr:col>
                    <xdr:colOff>333375</xdr:colOff>
                    <xdr:row>33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Check Box 5">
              <controlPr defaultSize="0" print="0" autoFill="0" autoLine="0" autoPict="0">
                <anchor moveWithCells="1">
                  <from>
                    <xdr:col>22</xdr:col>
                    <xdr:colOff>85725</xdr:colOff>
                    <xdr:row>33</xdr:row>
                    <xdr:rowOff>28575</xdr:rowOff>
                  </from>
                  <to>
                    <xdr:col>22</xdr:col>
                    <xdr:colOff>333375</xdr:colOff>
                    <xdr:row>33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8" name="Check Box 7">
              <controlPr defaultSize="0" print="0" autoFill="0" autoLine="0" autoPict="0">
                <anchor moveWithCells="1">
                  <from>
                    <xdr:col>4</xdr:col>
                    <xdr:colOff>85725</xdr:colOff>
                    <xdr:row>37</xdr:row>
                    <xdr:rowOff>28575</xdr:rowOff>
                  </from>
                  <to>
                    <xdr:col>4</xdr:col>
                    <xdr:colOff>333375</xdr:colOff>
                    <xdr:row>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9" name="Check Box 8">
              <controlPr defaultSize="0" print="0" autoFill="0" autoLine="0" autoPict="0">
                <anchor moveWithCells="1">
                  <from>
                    <xdr:col>4</xdr:col>
                    <xdr:colOff>85725</xdr:colOff>
                    <xdr:row>39</xdr:row>
                    <xdr:rowOff>28575</xdr:rowOff>
                  </from>
                  <to>
                    <xdr:col>4</xdr:col>
                    <xdr:colOff>333375</xdr:colOff>
                    <xdr:row>39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0" name="Check Box 9">
              <controlPr defaultSize="0" print="0" autoFill="0" autoLine="0" autoPict="0">
                <anchor moveWithCells="1">
                  <from>
                    <xdr:col>4</xdr:col>
                    <xdr:colOff>85725</xdr:colOff>
                    <xdr:row>41</xdr:row>
                    <xdr:rowOff>28575</xdr:rowOff>
                  </from>
                  <to>
                    <xdr:col>4</xdr:col>
                    <xdr:colOff>333375</xdr:colOff>
                    <xdr:row>41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1" name="Check Box 10">
              <controlPr defaultSize="0" print="0" autoFill="0" autoLine="0" autoPict="0">
                <anchor moveWithCells="1">
                  <from>
                    <xdr:col>10</xdr:col>
                    <xdr:colOff>85725</xdr:colOff>
                    <xdr:row>37</xdr:row>
                    <xdr:rowOff>28575</xdr:rowOff>
                  </from>
                  <to>
                    <xdr:col>10</xdr:col>
                    <xdr:colOff>333375</xdr:colOff>
                    <xdr:row>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2" name="Check Box 11">
              <controlPr defaultSize="0" print="0" autoFill="0" autoLine="0" autoPict="0">
                <anchor moveWithCells="1">
                  <from>
                    <xdr:col>10</xdr:col>
                    <xdr:colOff>85725</xdr:colOff>
                    <xdr:row>41</xdr:row>
                    <xdr:rowOff>28575</xdr:rowOff>
                  </from>
                  <to>
                    <xdr:col>10</xdr:col>
                    <xdr:colOff>333375</xdr:colOff>
                    <xdr:row>41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3" name="Check Box 12">
              <controlPr defaultSize="0" print="0" autoFill="0" autoLine="0" autoPict="0">
                <anchor moveWithCells="1">
                  <from>
                    <xdr:col>22</xdr:col>
                    <xdr:colOff>85725</xdr:colOff>
                    <xdr:row>37</xdr:row>
                    <xdr:rowOff>28575</xdr:rowOff>
                  </from>
                  <to>
                    <xdr:col>22</xdr:col>
                    <xdr:colOff>333375</xdr:colOff>
                    <xdr:row>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4" name="Check Box 13">
              <controlPr defaultSize="0" print="0" autoFill="0" autoLine="0" autoPict="0">
                <anchor moveWithCells="1">
                  <from>
                    <xdr:col>22</xdr:col>
                    <xdr:colOff>85725</xdr:colOff>
                    <xdr:row>39</xdr:row>
                    <xdr:rowOff>28575</xdr:rowOff>
                  </from>
                  <to>
                    <xdr:col>22</xdr:col>
                    <xdr:colOff>333375</xdr:colOff>
                    <xdr:row>39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5" name="Check Box 14">
              <controlPr defaultSize="0" print="0" autoFill="0" autoLine="0" autoPict="0">
                <anchor moveWithCells="1">
                  <from>
                    <xdr:col>28</xdr:col>
                    <xdr:colOff>85725</xdr:colOff>
                    <xdr:row>37</xdr:row>
                    <xdr:rowOff>28575</xdr:rowOff>
                  </from>
                  <to>
                    <xdr:col>28</xdr:col>
                    <xdr:colOff>333375</xdr:colOff>
                    <xdr:row>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6" name="Check Box 15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45</xdr:row>
                    <xdr:rowOff>28575</xdr:rowOff>
                  </from>
                  <to>
                    <xdr:col>2</xdr:col>
                    <xdr:colOff>333375</xdr:colOff>
                    <xdr:row>45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7" name="Check Box 16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47</xdr:row>
                    <xdr:rowOff>28575</xdr:rowOff>
                  </from>
                  <to>
                    <xdr:col>2</xdr:col>
                    <xdr:colOff>333375</xdr:colOff>
                    <xdr:row>47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8" name="Check Box 17">
              <controlPr defaultSize="0" print="0" autoFill="0" autoLine="0" autoPict="0">
                <anchor moveWithCells="1">
                  <from>
                    <xdr:col>5</xdr:col>
                    <xdr:colOff>85725</xdr:colOff>
                    <xdr:row>49</xdr:row>
                    <xdr:rowOff>28575</xdr:rowOff>
                  </from>
                  <to>
                    <xdr:col>5</xdr:col>
                    <xdr:colOff>333375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19" name="Check Box 18">
              <controlPr defaultSize="0" print="0" autoFill="0" autoLine="0" autoPict="0">
                <anchor moveWithCells="1">
                  <from>
                    <xdr:col>10</xdr:col>
                    <xdr:colOff>85725</xdr:colOff>
                    <xdr:row>49</xdr:row>
                    <xdr:rowOff>28575</xdr:rowOff>
                  </from>
                  <to>
                    <xdr:col>10</xdr:col>
                    <xdr:colOff>333375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20" name="Check Box 19">
              <controlPr defaultSize="0" print="0" autoFill="0" autoLine="0" autoPict="0">
                <anchor moveWithCells="1">
                  <from>
                    <xdr:col>8</xdr:col>
                    <xdr:colOff>85725</xdr:colOff>
                    <xdr:row>45</xdr:row>
                    <xdr:rowOff>28575</xdr:rowOff>
                  </from>
                  <to>
                    <xdr:col>8</xdr:col>
                    <xdr:colOff>333375</xdr:colOff>
                    <xdr:row>45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21" name="Check Box 20">
              <controlPr defaultSize="0" print="0" autoFill="0" autoLine="0" autoPict="0">
                <anchor moveWithCells="1">
                  <from>
                    <xdr:col>13</xdr:col>
                    <xdr:colOff>85725</xdr:colOff>
                    <xdr:row>45</xdr:row>
                    <xdr:rowOff>28575</xdr:rowOff>
                  </from>
                  <to>
                    <xdr:col>13</xdr:col>
                    <xdr:colOff>333375</xdr:colOff>
                    <xdr:row>45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2" name="Check Box 21">
              <controlPr defaultSize="0" print="0" autoFill="0" autoLine="0" autoPict="0">
                <anchor moveWithCells="1">
                  <from>
                    <xdr:col>19</xdr:col>
                    <xdr:colOff>85725</xdr:colOff>
                    <xdr:row>45</xdr:row>
                    <xdr:rowOff>28575</xdr:rowOff>
                  </from>
                  <to>
                    <xdr:col>19</xdr:col>
                    <xdr:colOff>333375</xdr:colOff>
                    <xdr:row>45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3" name="Check Box 22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53</xdr:row>
                    <xdr:rowOff>28575</xdr:rowOff>
                  </from>
                  <to>
                    <xdr:col>2</xdr:col>
                    <xdr:colOff>333375</xdr:colOff>
                    <xdr:row>53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4" name="Check Box 23">
              <controlPr defaultSize="0" print="0" autoFill="0" autoLine="0" autoPict="0">
                <anchor moveWithCells="1">
                  <from>
                    <xdr:col>6</xdr:col>
                    <xdr:colOff>85725</xdr:colOff>
                    <xdr:row>53</xdr:row>
                    <xdr:rowOff>28575</xdr:rowOff>
                  </from>
                  <to>
                    <xdr:col>6</xdr:col>
                    <xdr:colOff>333375</xdr:colOff>
                    <xdr:row>53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5" name="Check Box 24">
              <controlPr defaultSize="0" print="0" autoFill="0" autoLine="0" autoPict="0">
                <anchor moveWithCells="1">
                  <from>
                    <xdr:col>27</xdr:col>
                    <xdr:colOff>85725</xdr:colOff>
                    <xdr:row>63</xdr:row>
                    <xdr:rowOff>28575</xdr:rowOff>
                  </from>
                  <to>
                    <xdr:col>27</xdr:col>
                    <xdr:colOff>333375</xdr:colOff>
                    <xdr:row>63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6" name="Check Box 25">
              <controlPr defaultSize="0" print="0" autoFill="0" autoLine="0" autoPict="0">
                <anchor moveWithCells="1">
                  <from>
                    <xdr:col>31</xdr:col>
                    <xdr:colOff>85725</xdr:colOff>
                    <xdr:row>63</xdr:row>
                    <xdr:rowOff>28575</xdr:rowOff>
                  </from>
                  <to>
                    <xdr:col>31</xdr:col>
                    <xdr:colOff>333375</xdr:colOff>
                    <xdr:row>63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7" name="Check Box 26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67</xdr:row>
                    <xdr:rowOff>28575</xdr:rowOff>
                  </from>
                  <to>
                    <xdr:col>2</xdr:col>
                    <xdr:colOff>333375</xdr:colOff>
                    <xdr:row>67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8" name="Check Box 27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69</xdr:row>
                    <xdr:rowOff>28575</xdr:rowOff>
                  </from>
                  <to>
                    <xdr:col>2</xdr:col>
                    <xdr:colOff>333375</xdr:colOff>
                    <xdr:row>69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29" name="Check Box 28">
              <controlPr defaultSize="0" print="0" autoFill="0" autoLine="0" autoPict="0">
                <anchor moveWithCells="1">
                  <from>
                    <xdr:col>6</xdr:col>
                    <xdr:colOff>85725</xdr:colOff>
                    <xdr:row>67</xdr:row>
                    <xdr:rowOff>28575</xdr:rowOff>
                  </from>
                  <to>
                    <xdr:col>6</xdr:col>
                    <xdr:colOff>333375</xdr:colOff>
                    <xdr:row>67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30" name="Check Box 29">
              <controlPr defaultSize="0" print="0" autoFill="0" autoLine="0" autoPict="0">
                <anchor moveWithCells="1">
                  <from>
                    <xdr:col>11</xdr:col>
                    <xdr:colOff>85725</xdr:colOff>
                    <xdr:row>69</xdr:row>
                    <xdr:rowOff>28575</xdr:rowOff>
                  </from>
                  <to>
                    <xdr:col>11</xdr:col>
                    <xdr:colOff>333375</xdr:colOff>
                    <xdr:row>69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31" name="Check Box 30">
              <controlPr defaultSize="0" print="0" autoFill="0" autoLine="0" autoPict="0">
                <anchor moveWithCells="1">
                  <from>
                    <xdr:col>21</xdr:col>
                    <xdr:colOff>85725</xdr:colOff>
                    <xdr:row>69</xdr:row>
                    <xdr:rowOff>28575</xdr:rowOff>
                  </from>
                  <to>
                    <xdr:col>21</xdr:col>
                    <xdr:colOff>333375</xdr:colOff>
                    <xdr:row>69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1" r:id="rId32" name="Check Box 31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81</xdr:row>
                    <xdr:rowOff>28575</xdr:rowOff>
                  </from>
                  <to>
                    <xdr:col>2</xdr:col>
                    <xdr:colOff>333375</xdr:colOff>
                    <xdr:row>81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33" name="Check Box 32">
              <controlPr defaultSize="0" print="0" autoFill="0" autoLine="0" autoPict="0">
                <anchor moveWithCells="1">
                  <from>
                    <xdr:col>14</xdr:col>
                    <xdr:colOff>85725</xdr:colOff>
                    <xdr:row>81</xdr:row>
                    <xdr:rowOff>28575</xdr:rowOff>
                  </from>
                  <to>
                    <xdr:col>14</xdr:col>
                    <xdr:colOff>333375</xdr:colOff>
                    <xdr:row>81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34" name="Check Box 33">
              <controlPr defaultSize="0" print="0" autoFill="0" autoLine="0" autoPict="0">
                <anchor moveWithCells="1">
                  <from>
                    <xdr:col>11</xdr:col>
                    <xdr:colOff>85725</xdr:colOff>
                    <xdr:row>73</xdr:row>
                    <xdr:rowOff>28575</xdr:rowOff>
                  </from>
                  <to>
                    <xdr:col>11</xdr:col>
                    <xdr:colOff>333375</xdr:colOff>
                    <xdr:row>73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35" name="Check Box 34">
              <controlPr defaultSize="0" print="0" autoFill="0" autoLine="0" autoPict="0">
                <anchor moveWithCells="1">
                  <from>
                    <xdr:col>16</xdr:col>
                    <xdr:colOff>85725</xdr:colOff>
                    <xdr:row>73</xdr:row>
                    <xdr:rowOff>28575</xdr:rowOff>
                  </from>
                  <to>
                    <xdr:col>16</xdr:col>
                    <xdr:colOff>333375</xdr:colOff>
                    <xdr:row>73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96938-90DA-40A4-B31C-B986EFE21016}">
  <sheetPr codeName="Sheet6">
    <tabColor rgb="FFFFFF00"/>
    <pageSetUpPr fitToPage="1"/>
  </sheetPr>
  <dimension ref="A1:AP83"/>
  <sheetViews>
    <sheetView showGridLines="0" zoomScale="70" zoomScaleNormal="70" workbookViewId="0">
      <selection activeCell="E17" sqref="E17:AK19"/>
    </sheetView>
  </sheetViews>
  <sheetFormatPr defaultColWidth="12" defaultRowHeight="33" x14ac:dyDescent="0.45"/>
  <cols>
    <col min="1" max="1" width="3.42578125" style="44" customWidth="1"/>
    <col min="2" max="2" width="5.85546875" style="66" customWidth="1"/>
    <col min="3" max="3" width="5" style="44" customWidth="1"/>
    <col min="4" max="10" width="5.42578125" style="44" customWidth="1"/>
    <col min="11" max="12" width="6.7109375" style="44" customWidth="1"/>
    <col min="13" max="15" width="5.140625" style="44" customWidth="1"/>
    <col min="16" max="16" width="5.28515625" style="44" customWidth="1"/>
    <col min="17" max="17" width="5.7109375" style="44" customWidth="1"/>
    <col min="18" max="21" width="5.140625" style="44" customWidth="1"/>
    <col min="22" max="22" width="7.42578125" style="44" customWidth="1"/>
    <col min="23" max="31" width="5.140625" style="44" customWidth="1"/>
    <col min="32" max="32" width="5" style="44" customWidth="1"/>
    <col min="33" max="33" width="4" style="44" customWidth="1"/>
    <col min="34" max="37" width="5.140625" style="44" customWidth="1"/>
    <col min="38" max="43" width="6.140625" style="44" customWidth="1"/>
    <col min="44" max="16384" width="12" style="44"/>
  </cols>
  <sheetData>
    <row r="1" spans="1:37" ht="19.350000000000001" customHeight="1" x14ac:dyDescent="0.45"/>
    <row r="2" spans="1:37" ht="49.5" x14ac:dyDescent="0.65">
      <c r="B2" s="272" t="s">
        <v>188</v>
      </c>
      <c r="C2" s="272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72"/>
      <c r="P2" s="272"/>
      <c r="Q2" s="272"/>
      <c r="R2" s="272"/>
      <c r="S2" s="272"/>
      <c r="T2" s="272"/>
      <c r="U2" s="272"/>
      <c r="V2" s="272"/>
      <c r="W2" s="272"/>
      <c r="X2" s="272"/>
      <c r="Y2" s="272"/>
      <c r="Z2" s="272"/>
      <c r="AA2" s="272"/>
      <c r="AB2" s="272"/>
      <c r="AC2" s="272"/>
      <c r="AD2" s="272"/>
      <c r="AE2" s="272"/>
      <c r="AF2" s="272"/>
      <c r="AG2" s="272"/>
      <c r="AH2" s="272"/>
      <c r="AI2" s="272"/>
      <c r="AJ2" s="272"/>
      <c r="AK2" s="272"/>
    </row>
    <row r="3" spans="1:37" ht="32.450000000000003" customHeight="1" x14ac:dyDescent="0.45"/>
    <row r="4" spans="1:37" s="52" customFormat="1" ht="21" customHeight="1" x14ac:dyDescent="0.25">
      <c r="B4" s="67" t="s">
        <v>274</v>
      </c>
      <c r="J4" s="121" t="str">
        <f>IF(AND('CP-1'!B50="",'CP-1'!E50="",'CP-1'!G50=""),"",IF(M4="P","","P"))</f>
        <v>P</v>
      </c>
      <c r="K4" s="63" t="s">
        <v>54</v>
      </c>
      <c r="M4" s="121" t="str">
        <f>IF('CP-1'!B50="P","P","")</f>
        <v/>
      </c>
      <c r="N4" s="63" t="s">
        <v>71</v>
      </c>
    </row>
    <row r="5" spans="1:37" s="52" customFormat="1" ht="21" customHeight="1" x14ac:dyDescent="0.25">
      <c r="A5" s="52" t="s">
        <v>275</v>
      </c>
      <c r="B5" s="67" t="s">
        <v>276</v>
      </c>
      <c r="O5" s="121" t="str">
        <f>IF(AND('CP-1'!B54="",'CP-1'!D54=""),"",IF(S5="P","","P"))</f>
        <v>P</v>
      </c>
      <c r="P5" s="63" t="s">
        <v>54</v>
      </c>
      <c r="S5" s="121" t="str">
        <f>IF('CP-1'!D54="P","P","")</f>
        <v/>
      </c>
      <c r="T5" s="268" t="s">
        <v>277</v>
      </c>
      <c r="U5" s="268"/>
      <c r="V5" s="268"/>
      <c r="W5" s="268"/>
      <c r="X5" s="268"/>
      <c r="Y5" s="268"/>
      <c r="Z5" s="268" t="str">
        <f>IF('CP-1'!K54="","",'CP-1'!K54)</f>
        <v/>
      </c>
      <c r="AA5" s="268"/>
      <c r="AB5" s="268"/>
      <c r="AC5" s="268"/>
      <c r="AD5" s="268"/>
      <c r="AE5" s="268"/>
      <c r="AF5" s="268"/>
      <c r="AG5" s="268"/>
      <c r="AH5" s="268"/>
      <c r="AI5" s="268"/>
      <c r="AJ5" s="268"/>
      <c r="AK5" s="268"/>
    </row>
    <row r="6" spans="1:37" s="52" customFormat="1" ht="21" customHeight="1" x14ac:dyDescent="0.25">
      <c r="B6" s="67" t="s">
        <v>278</v>
      </c>
      <c r="K6" s="121" t="str">
        <f>IF(AND('CP-4'!B48="",'CP-4'!E48=""),"",IF(P6="P","","P"))</f>
        <v>P</v>
      </c>
      <c r="L6" s="63" t="s">
        <v>54</v>
      </c>
      <c r="P6" s="121" t="str">
        <f>IF('CP-4'!E48="P","P","")</f>
        <v/>
      </c>
      <c r="Q6" s="268" t="s">
        <v>279</v>
      </c>
      <c r="R6" s="268"/>
      <c r="S6" s="268"/>
      <c r="T6" s="268"/>
      <c r="U6" s="268"/>
      <c r="V6" s="268"/>
      <c r="W6" s="268" t="str">
        <f>IF('CP-4'!N48="","",'CP-4'!N48)</f>
        <v/>
      </c>
      <c r="X6" s="268"/>
      <c r="Y6" s="268"/>
      <c r="Z6" s="268"/>
      <c r="AA6" s="268"/>
      <c r="AB6" s="268"/>
      <c r="AC6" s="268"/>
      <c r="AD6" s="268"/>
      <c r="AE6" s="268"/>
      <c r="AF6" s="268"/>
      <c r="AG6" s="268"/>
      <c r="AH6" s="268"/>
      <c r="AI6" s="268"/>
      <c r="AJ6" s="268"/>
      <c r="AK6" s="268"/>
    </row>
    <row r="7" spans="1:37" s="52" customFormat="1" ht="21" customHeight="1" x14ac:dyDescent="0.25">
      <c r="A7" s="109" t="str">
        <f>IF(COUNTIF(M7:S7,"P")=0,"",COUNTIF(M7:S7,"P"))</f>
        <v/>
      </c>
      <c r="B7" s="67" t="s">
        <v>280</v>
      </c>
      <c r="M7" s="121" t="str">
        <f>IF(CONTROLS!$G$8=TRUE,"P","")</f>
        <v/>
      </c>
      <c r="N7" s="63" t="s">
        <v>54</v>
      </c>
      <c r="S7" s="121" t="str">
        <f>IF(CONTROLS!$G$9=TRUE,"P","")</f>
        <v/>
      </c>
      <c r="T7" s="63" t="s">
        <v>281</v>
      </c>
      <c r="X7" s="68"/>
      <c r="Y7" s="68"/>
      <c r="Z7" s="68"/>
      <c r="AA7" s="68"/>
      <c r="AB7" s="68"/>
      <c r="AC7" s="68"/>
      <c r="AD7" s="68"/>
      <c r="AE7" s="68"/>
      <c r="AF7" s="68"/>
      <c r="AG7" s="304"/>
      <c r="AH7" s="304"/>
      <c r="AI7" s="304"/>
      <c r="AJ7" s="304"/>
      <c r="AK7" s="304"/>
    </row>
    <row r="8" spans="1:37" ht="21" customHeight="1" x14ac:dyDescent="0.4">
      <c r="A8" s="110">
        <f>IF(AND(IF(S7="P",1,"")=1,C8=""),"",1)</f>
        <v>1</v>
      </c>
      <c r="B8" s="55"/>
      <c r="C8" s="264"/>
      <c r="D8" s="264"/>
      <c r="E8" s="264"/>
      <c r="F8" s="264"/>
      <c r="G8" s="264"/>
      <c r="H8" s="264"/>
      <c r="I8" s="264"/>
      <c r="J8" s="264"/>
      <c r="K8" s="264"/>
      <c r="L8" s="264"/>
      <c r="M8" s="264"/>
      <c r="N8" s="264"/>
      <c r="O8" s="264"/>
      <c r="P8" s="264"/>
      <c r="Q8" s="264"/>
      <c r="R8" s="264"/>
      <c r="S8" s="264"/>
      <c r="T8" s="264"/>
      <c r="U8" s="264"/>
      <c r="V8" s="264"/>
      <c r="W8" s="264"/>
      <c r="X8" s="264"/>
      <c r="Y8" s="264"/>
      <c r="Z8" s="264"/>
      <c r="AA8" s="264"/>
      <c r="AB8" s="264"/>
      <c r="AC8" s="264"/>
      <c r="AD8" s="264"/>
      <c r="AE8" s="264"/>
      <c r="AF8" s="264"/>
      <c r="AG8" s="264"/>
      <c r="AH8" s="264"/>
      <c r="AI8" s="264"/>
      <c r="AJ8" s="264"/>
      <c r="AK8" s="264"/>
    </row>
    <row r="9" spans="1:37" s="46" customFormat="1" ht="21" customHeight="1" x14ac:dyDescent="0.35">
      <c r="B9" s="69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</row>
    <row r="10" spans="1:37" x14ac:dyDescent="0.35">
      <c r="B10" s="71" t="s">
        <v>282</v>
      </c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63"/>
      <c r="P10" s="63"/>
      <c r="Q10" s="63"/>
      <c r="R10" s="63"/>
      <c r="S10" s="63"/>
      <c r="U10" s="72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70"/>
      <c r="AI10" s="70"/>
      <c r="AJ10" s="70"/>
      <c r="AK10" s="70"/>
    </row>
    <row r="11" spans="1:37" ht="21" customHeight="1" x14ac:dyDescent="0.35">
      <c r="B11" s="67" t="s">
        <v>283</v>
      </c>
      <c r="D11" s="72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63"/>
      <c r="P11" s="63"/>
      <c r="Q11" s="63"/>
      <c r="R11" s="63"/>
      <c r="S11" s="63"/>
      <c r="U11" s="72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70"/>
      <c r="AI11" s="70"/>
      <c r="AJ11" s="70"/>
      <c r="AK11" s="70"/>
    </row>
    <row r="12" spans="1:37" ht="22.7" customHeight="1" x14ac:dyDescent="0.4">
      <c r="B12" s="55"/>
      <c r="D12" s="53" t="s">
        <v>284</v>
      </c>
      <c r="E12" s="72"/>
      <c r="F12" s="268" t="s">
        <v>285</v>
      </c>
      <c r="G12" s="268"/>
      <c r="H12" s="268"/>
      <c r="I12" s="268"/>
      <c r="J12" s="268"/>
      <c r="K12" s="268"/>
      <c r="L12" s="268"/>
      <c r="M12" s="268"/>
      <c r="N12" s="268"/>
      <c r="O12" s="268"/>
      <c r="P12" s="268"/>
      <c r="Q12" s="268"/>
      <c r="R12" s="268"/>
      <c r="S12" s="304"/>
      <c r="T12" s="304"/>
      <c r="U12" s="304"/>
      <c r="V12" s="304"/>
      <c r="W12" s="304"/>
      <c r="X12" s="304"/>
      <c r="Y12" s="304"/>
      <c r="Z12" s="304"/>
      <c r="AA12" s="304"/>
      <c r="AB12" s="304"/>
      <c r="AC12" s="304"/>
      <c r="AD12" s="304"/>
      <c r="AE12" s="304"/>
      <c r="AF12" s="304"/>
      <c r="AG12" s="304"/>
      <c r="AH12" s="304"/>
      <c r="AI12" s="304"/>
      <c r="AJ12" s="304"/>
      <c r="AK12" s="304"/>
    </row>
    <row r="13" spans="1:37" ht="22.7" customHeight="1" x14ac:dyDescent="0.4">
      <c r="B13" s="55"/>
      <c r="D13" s="53" t="s">
        <v>284</v>
      </c>
      <c r="E13" s="72"/>
      <c r="F13" s="271" t="s">
        <v>286</v>
      </c>
      <c r="G13" s="271"/>
      <c r="H13" s="271"/>
      <c r="I13" s="271"/>
      <c r="J13" s="271"/>
      <c r="K13" s="271"/>
      <c r="L13" s="304"/>
      <c r="M13" s="304"/>
      <c r="N13" s="304"/>
      <c r="O13" s="304"/>
      <c r="P13" s="304"/>
      <c r="Q13" s="304"/>
      <c r="R13" s="304"/>
      <c r="S13" s="304"/>
      <c r="T13" s="304"/>
      <c r="U13" s="304"/>
      <c r="V13" s="304"/>
      <c r="W13" s="304"/>
      <c r="X13" s="304"/>
      <c r="Y13" s="304"/>
      <c r="Z13" s="304"/>
      <c r="AA13" s="304"/>
      <c r="AB13" s="304"/>
      <c r="AC13" s="304"/>
      <c r="AD13" s="304"/>
      <c r="AE13" s="304"/>
      <c r="AF13" s="304"/>
      <c r="AG13" s="304"/>
      <c r="AH13" s="304"/>
      <c r="AI13" s="304"/>
      <c r="AJ13" s="304"/>
      <c r="AK13" s="304"/>
    </row>
    <row r="14" spans="1:37" ht="22.7" customHeight="1" x14ac:dyDescent="0.4">
      <c r="B14" s="55"/>
      <c r="D14" s="53" t="s">
        <v>284</v>
      </c>
      <c r="E14" s="72"/>
      <c r="F14" s="271" t="s">
        <v>287</v>
      </c>
      <c r="G14" s="271"/>
      <c r="H14" s="271"/>
      <c r="I14" s="271"/>
      <c r="J14" s="271"/>
      <c r="K14" s="271"/>
      <c r="L14" s="271"/>
      <c r="M14" s="271"/>
      <c r="N14" s="271"/>
      <c r="O14" s="271"/>
      <c r="P14" s="271"/>
      <c r="Q14" s="271"/>
      <c r="R14" s="304"/>
      <c r="S14" s="304"/>
      <c r="T14" s="304"/>
      <c r="U14" s="304"/>
      <c r="V14" s="304"/>
      <c r="W14" s="304"/>
      <c r="X14" s="304"/>
      <c r="Y14" s="304"/>
      <c r="Z14" s="304"/>
      <c r="AA14" s="304"/>
      <c r="AB14" s="304"/>
      <c r="AC14" s="304"/>
      <c r="AD14" s="304"/>
      <c r="AE14" s="304"/>
      <c r="AF14" s="304"/>
      <c r="AG14" s="304"/>
      <c r="AH14" s="304"/>
      <c r="AI14" s="304"/>
      <c r="AJ14" s="304"/>
      <c r="AK14" s="304"/>
    </row>
    <row r="15" spans="1:37" ht="21" customHeight="1" x14ac:dyDescent="0.35">
      <c r="B15" s="67" t="s">
        <v>288</v>
      </c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63"/>
      <c r="P15" s="63"/>
      <c r="Q15" s="63"/>
      <c r="R15" s="63"/>
      <c r="S15" s="63"/>
      <c r="U15" s="72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70"/>
      <c r="AI15" s="70"/>
      <c r="AJ15" s="70"/>
      <c r="AK15" s="70"/>
    </row>
    <row r="16" spans="1:37" ht="21" customHeight="1" x14ac:dyDescent="0.4">
      <c r="B16" s="55"/>
      <c r="C16" s="53" t="s">
        <v>284</v>
      </c>
      <c r="D16" s="72"/>
      <c r="E16" s="63" t="s">
        <v>289</v>
      </c>
      <c r="F16" s="72"/>
      <c r="G16" s="72"/>
      <c r="H16" s="72"/>
      <c r="I16" s="72"/>
      <c r="J16" s="72"/>
      <c r="K16" s="72"/>
      <c r="L16" s="72"/>
      <c r="M16" s="72"/>
      <c r="N16" s="72"/>
      <c r="O16" s="63"/>
      <c r="P16" s="63"/>
      <c r="Q16" s="63"/>
      <c r="R16" s="63"/>
      <c r="S16" s="63"/>
      <c r="U16" s="72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70"/>
      <c r="AI16" s="70"/>
      <c r="AJ16" s="70"/>
      <c r="AK16" s="70"/>
    </row>
    <row r="17" spans="2:37" ht="39.6" customHeight="1" x14ac:dyDescent="0.4">
      <c r="B17" s="55"/>
      <c r="D17" s="73"/>
      <c r="E17" s="295" t="str">
        <f>IF('CP-5 14001-45001-OSHAS'!C19="","",'CP-5 14001-45001-OSHAS'!C19)</f>
        <v/>
      </c>
      <c r="F17" s="296"/>
      <c r="G17" s="296"/>
      <c r="H17" s="296"/>
      <c r="I17" s="296"/>
      <c r="J17" s="296"/>
      <c r="K17" s="296"/>
      <c r="L17" s="296"/>
      <c r="M17" s="296"/>
      <c r="N17" s="296"/>
      <c r="O17" s="296"/>
      <c r="P17" s="296"/>
      <c r="Q17" s="296"/>
      <c r="R17" s="296"/>
      <c r="S17" s="296"/>
      <c r="T17" s="296"/>
      <c r="U17" s="296"/>
      <c r="V17" s="296"/>
      <c r="W17" s="296"/>
      <c r="X17" s="296"/>
      <c r="Y17" s="296"/>
      <c r="Z17" s="296"/>
      <c r="AA17" s="296"/>
      <c r="AB17" s="296"/>
      <c r="AC17" s="296"/>
      <c r="AD17" s="296"/>
      <c r="AE17" s="296"/>
      <c r="AF17" s="296"/>
      <c r="AG17" s="296"/>
      <c r="AH17" s="296"/>
      <c r="AI17" s="296"/>
      <c r="AJ17" s="296"/>
      <c r="AK17" s="297"/>
    </row>
    <row r="18" spans="2:37" ht="39.6" customHeight="1" x14ac:dyDescent="0.4">
      <c r="B18" s="55"/>
      <c r="D18" s="73"/>
      <c r="E18" s="298"/>
      <c r="F18" s="299"/>
      <c r="G18" s="299"/>
      <c r="H18" s="299"/>
      <c r="I18" s="299"/>
      <c r="J18" s="299"/>
      <c r="K18" s="299"/>
      <c r="L18" s="299"/>
      <c r="M18" s="299"/>
      <c r="N18" s="299"/>
      <c r="O18" s="299"/>
      <c r="P18" s="299"/>
      <c r="Q18" s="299"/>
      <c r="R18" s="299"/>
      <c r="S18" s="299"/>
      <c r="T18" s="299"/>
      <c r="U18" s="299"/>
      <c r="V18" s="299"/>
      <c r="W18" s="299"/>
      <c r="X18" s="299"/>
      <c r="Y18" s="299"/>
      <c r="Z18" s="299"/>
      <c r="AA18" s="299"/>
      <c r="AB18" s="299"/>
      <c r="AC18" s="299"/>
      <c r="AD18" s="299"/>
      <c r="AE18" s="299"/>
      <c r="AF18" s="299"/>
      <c r="AG18" s="299"/>
      <c r="AH18" s="299"/>
      <c r="AI18" s="299"/>
      <c r="AJ18" s="299"/>
      <c r="AK18" s="300"/>
    </row>
    <row r="19" spans="2:37" ht="39.6" customHeight="1" x14ac:dyDescent="0.4">
      <c r="B19" s="55"/>
      <c r="D19" s="73"/>
      <c r="E19" s="301"/>
      <c r="F19" s="302"/>
      <c r="G19" s="302"/>
      <c r="H19" s="302"/>
      <c r="I19" s="302"/>
      <c r="J19" s="302"/>
      <c r="K19" s="302"/>
      <c r="L19" s="302"/>
      <c r="M19" s="302"/>
      <c r="N19" s="302"/>
      <c r="O19" s="302"/>
      <c r="P19" s="302"/>
      <c r="Q19" s="302"/>
      <c r="R19" s="302"/>
      <c r="S19" s="302"/>
      <c r="T19" s="302"/>
      <c r="U19" s="302"/>
      <c r="V19" s="302"/>
      <c r="W19" s="302"/>
      <c r="X19" s="302"/>
      <c r="Y19" s="302"/>
      <c r="Z19" s="302"/>
      <c r="AA19" s="302"/>
      <c r="AB19" s="302"/>
      <c r="AC19" s="302"/>
      <c r="AD19" s="302"/>
      <c r="AE19" s="302"/>
      <c r="AF19" s="302"/>
      <c r="AG19" s="302"/>
      <c r="AH19" s="302"/>
      <c r="AI19" s="302"/>
      <c r="AJ19" s="302"/>
      <c r="AK19" s="303"/>
    </row>
    <row r="20" spans="2:37" ht="21" customHeight="1" x14ac:dyDescent="0.4">
      <c r="B20" s="55"/>
      <c r="C20" s="53" t="s">
        <v>284</v>
      </c>
      <c r="D20" s="72"/>
      <c r="E20" s="63" t="s">
        <v>290</v>
      </c>
      <c r="F20" s="72"/>
      <c r="G20" s="72"/>
      <c r="H20" s="72"/>
      <c r="I20" s="72"/>
      <c r="J20" s="72"/>
      <c r="K20" s="72"/>
      <c r="L20" s="72"/>
      <c r="M20" s="72"/>
      <c r="N20" s="72"/>
      <c r="O20" s="63"/>
      <c r="P20" s="63"/>
      <c r="Q20" s="63"/>
      <c r="R20" s="99"/>
      <c r="S20" s="99"/>
      <c r="T20" s="100"/>
      <c r="U20" s="99"/>
      <c r="V20" s="99"/>
      <c r="W20" s="99"/>
      <c r="X20" s="99"/>
      <c r="Y20" s="63"/>
      <c r="Z20" s="63"/>
      <c r="AA20" s="63"/>
      <c r="AB20" s="63"/>
      <c r="AC20" s="63"/>
      <c r="AD20" s="63"/>
      <c r="AE20" s="63"/>
      <c r="AF20" s="63"/>
      <c r="AG20" s="63"/>
      <c r="AH20" s="70"/>
      <c r="AI20" s="70"/>
      <c r="AJ20" s="70"/>
      <c r="AK20" s="70"/>
    </row>
    <row r="21" spans="2:37" ht="39" customHeight="1" x14ac:dyDescent="0.4">
      <c r="B21" s="55"/>
      <c r="D21" s="73"/>
      <c r="E21" s="295" t="str">
        <f>IF('CP-5 14001-45001-OSHAS'!B30="","",'CP-5 14001-45001-OSHAS'!B30)</f>
        <v/>
      </c>
      <c r="F21" s="296"/>
      <c r="G21" s="296"/>
      <c r="H21" s="296"/>
      <c r="I21" s="296"/>
      <c r="J21" s="296"/>
      <c r="K21" s="296"/>
      <c r="L21" s="296"/>
      <c r="M21" s="296"/>
      <c r="N21" s="296"/>
      <c r="O21" s="296"/>
      <c r="P21" s="296"/>
      <c r="Q21" s="296"/>
      <c r="R21" s="296"/>
      <c r="S21" s="296"/>
      <c r="T21" s="296"/>
      <c r="U21" s="296"/>
      <c r="V21" s="296"/>
      <c r="W21" s="296"/>
      <c r="X21" s="296"/>
      <c r="Y21" s="296"/>
      <c r="Z21" s="296"/>
      <c r="AA21" s="296"/>
      <c r="AB21" s="296"/>
      <c r="AC21" s="296"/>
      <c r="AD21" s="296"/>
      <c r="AE21" s="296"/>
      <c r="AF21" s="296"/>
      <c r="AG21" s="296"/>
      <c r="AH21" s="296"/>
      <c r="AI21" s="296"/>
      <c r="AJ21" s="296"/>
      <c r="AK21" s="297"/>
    </row>
    <row r="22" spans="2:37" ht="39" customHeight="1" x14ac:dyDescent="0.4">
      <c r="B22" s="55"/>
      <c r="D22" s="73"/>
      <c r="E22" s="298"/>
      <c r="F22" s="299"/>
      <c r="G22" s="299"/>
      <c r="H22" s="299"/>
      <c r="I22" s="299"/>
      <c r="J22" s="299"/>
      <c r="K22" s="299"/>
      <c r="L22" s="299"/>
      <c r="M22" s="299"/>
      <c r="N22" s="299"/>
      <c r="O22" s="299"/>
      <c r="P22" s="299"/>
      <c r="Q22" s="299"/>
      <c r="R22" s="299"/>
      <c r="S22" s="299"/>
      <c r="T22" s="299"/>
      <c r="U22" s="299"/>
      <c r="V22" s="299"/>
      <c r="W22" s="299"/>
      <c r="X22" s="299"/>
      <c r="Y22" s="299"/>
      <c r="Z22" s="299"/>
      <c r="AA22" s="299"/>
      <c r="AB22" s="299"/>
      <c r="AC22" s="299"/>
      <c r="AD22" s="299"/>
      <c r="AE22" s="299"/>
      <c r="AF22" s="299"/>
      <c r="AG22" s="299"/>
      <c r="AH22" s="299"/>
      <c r="AI22" s="299"/>
      <c r="AJ22" s="299"/>
      <c r="AK22" s="300"/>
    </row>
    <row r="23" spans="2:37" ht="39" customHeight="1" x14ac:dyDescent="0.4">
      <c r="B23" s="55"/>
      <c r="D23" s="73"/>
      <c r="E23" s="301"/>
      <c r="F23" s="302"/>
      <c r="G23" s="302"/>
      <c r="H23" s="302"/>
      <c r="I23" s="302"/>
      <c r="J23" s="302"/>
      <c r="K23" s="302"/>
      <c r="L23" s="302"/>
      <c r="M23" s="302"/>
      <c r="N23" s="302"/>
      <c r="O23" s="302"/>
      <c r="P23" s="302"/>
      <c r="Q23" s="302"/>
      <c r="R23" s="302"/>
      <c r="S23" s="302"/>
      <c r="T23" s="302"/>
      <c r="U23" s="302"/>
      <c r="V23" s="302"/>
      <c r="W23" s="302"/>
      <c r="X23" s="302"/>
      <c r="Y23" s="302"/>
      <c r="Z23" s="302"/>
      <c r="AA23" s="302"/>
      <c r="AB23" s="302"/>
      <c r="AC23" s="302"/>
      <c r="AD23" s="302"/>
      <c r="AE23" s="302"/>
      <c r="AF23" s="302"/>
      <c r="AG23" s="302"/>
      <c r="AH23" s="302"/>
      <c r="AI23" s="302"/>
      <c r="AJ23" s="302"/>
      <c r="AK23" s="303"/>
    </row>
    <row r="24" spans="2:37" ht="21" customHeight="1" x14ac:dyDescent="0.35">
      <c r="B24" s="67" t="s">
        <v>291</v>
      </c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63"/>
      <c r="P24" s="63"/>
      <c r="Q24" s="63"/>
      <c r="R24" s="63"/>
      <c r="S24" s="63"/>
      <c r="U24" s="72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70"/>
      <c r="AI24" s="70"/>
      <c r="AJ24" s="70"/>
      <c r="AK24" s="70"/>
    </row>
    <row r="25" spans="2:37" ht="21" customHeight="1" x14ac:dyDescent="0.4">
      <c r="B25" s="55"/>
      <c r="C25" s="53" t="s">
        <v>284</v>
      </c>
      <c r="D25" s="72"/>
      <c r="E25" s="63" t="s">
        <v>292</v>
      </c>
      <c r="F25" s="72"/>
      <c r="G25" s="72"/>
      <c r="H25" s="72"/>
      <c r="I25" s="72"/>
      <c r="J25" s="72"/>
      <c r="K25" s="72"/>
      <c r="L25" s="72"/>
      <c r="M25" s="72"/>
      <c r="N25" s="72"/>
      <c r="O25" s="63"/>
      <c r="P25" s="63"/>
      <c r="Q25" s="63"/>
      <c r="R25" s="63"/>
      <c r="S25" s="63"/>
      <c r="U25" s="72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70"/>
      <c r="AI25" s="70"/>
      <c r="AJ25" s="70"/>
      <c r="AK25" s="70"/>
    </row>
    <row r="26" spans="2:37" ht="39" customHeight="1" x14ac:dyDescent="0.4">
      <c r="B26" s="55"/>
      <c r="D26" s="73"/>
      <c r="E26" s="295" t="str">
        <f>IF('CP-5 14001-45001-OSHAS'!B45="","",'CP-5 14001-45001-OSHAS'!B45)</f>
        <v/>
      </c>
      <c r="F26" s="296"/>
      <c r="G26" s="296"/>
      <c r="H26" s="296"/>
      <c r="I26" s="296"/>
      <c r="J26" s="296"/>
      <c r="K26" s="296"/>
      <c r="L26" s="296"/>
      <c r="M26" s="296"/>
      <c r="N26" s="296"/>
      <c r="O26" s="296"/>
      <c r="P26" s="296"/>
      <c r="Q26" s="296"/>
      <c r="R26" s="296"/>
      <c r="S26" s="296"/>
      <c r="T26" s="296"/>
      <c r="U26" s="296"/>
      <c r="V26" s="296"/>
      <c r="W26" s="296"/>
      <c r="X26" s="296"/>
      <c r="Y26" s="296"/>
      <c r="Z26" s="296"/>
      <c r="AA26" s="296"/>
      <c r="AB26" s="296"/>
      <c r="AC26" s="296"/>
      <c r="AD26" s="296"/>
      <c r="AE26" s="296"/>
      <c r="AF26" s="296"/>
      <c r="AG26" s="296"/>
      <c r="AH26" s="296"/>
      <c r="AI26" s="296"/>
      <c r="AJ26" s="296"/>
      <c r="AK26" s="297"/>
    </row>
    <row r="27" spans="2:37" ht="39" customHeight="1" x14ac:dyDescent="0.4">
      <c r="B27" s="55"/>
      <c r="D27" s="73"/>
      <c r="E27" s="298"/>
      <c r="F27" s="299"/>
      <c r="G27" s="299"/>
      <c r="H27" s="299"/>
      <c r="I27" s="299"/>
      <c r="J27" s="299"/>
      <c r="K27" s="299"/>
      <c r="L27" s="299"/>
      <c r="M27" s="299"/>
      <c r="N27" s="299"/>
      <c r="O27" s="299"/>
      <c r="P27" s="299"/>
      <c r="Q27" s="299"/>
      <c r="R27" s="299"/>
      <c r="S27" s="299"/>
      <c r="T27" s="299"/>
      <c r="U27" s="299"/>
      <c r="V27" s="299"/>
      <c r="W27" s="299"/>
      <c r="X27" s="299"/>
      <c r="Y27" s="299"/>
      <c r="Z27" s="299"/>
      <c r="AA27" s="299"/>
      <c r="AB27" s="299"/>
      <c r="AC27" s="299"/>
      <c r="AD27" s="299"/>
      <c r="AE27" s="299"/>
      <c r="AF27" s="299"/>
      <c r="AG27" s="299"/>
      <c r="AH27" s="299"/>
      <c r="AI27" s="299"/>
      <c r="AJ27" s="299"/>
      <c r="AK27" s="300"/>
    </row>
    <row r="28" spans="2:37" ht="39" customHeight="1" x14ac:dyDescent="0.4">
      <c r="B28" s="55"/>
      <c r="D28" s="73"/>
      <c r="E28" s="301"/>
      <c r="F28" s="302"/>
      <c r="G28" s="302"/>
      <c r="H28" s="302"/>
      <c r="I28" s="302"/>
      <c r="J28" s="302"/>
      <c r="K28" s="302"/>
      <c r="L28" s="302"/>
      <c r="M28" s="302"/>
      <c r="N28" s="302"/>
      <c r="O28" s="302"/>
      <c r="P28" s="302"/>
      <c r="Q28" s="302"/>
      <c r="R28" s="302"/>
      <c r="S28" s="302"/>
      <c r="T28" s="302"/>
      <c r="U28" s="302"/>
      <c r="V28" s="302"/>
      <c r="W28" s="302"/>
      <c r="X28" s="302"/>
      <c r="Y28" s="302"/>
      <c r="Z28" s="302"/>
      <c r="AA28" s="302"/>
      <c r="AB28" s="302"/>
      <c r="AC28" s="302"/>
      <c r="AD28" s="302"/>
      <c r="AE28" s="302"/>
      <c r="AF28" s="302"/>
      <c r="AG28" s="302"/>
      <c r="AH28" s="302"/>
      <c r="AI28" s="302"/>
      <c r="AJ28" s="302"/>
      <c r="AK28" s="303"/>
    </row>
    <row r="29" spans="2:37" ht="21" customHeight="1" x14ac:dyDescent="0.4">
      <c r="B29" s="55"/>
      <c r="C29" s="53" t="s">
        <v>284</v>
      </c>
      <c r="D29" s="72"/>
      <c r="E29" s="63" t="s">
        <v>293</v>
      </c>
      <c r="F29" s="72"/>
      <c r="G29" s="72"/>
      <c r="H29" s="72"/>
      <c r="I29" s="72"/>
      <c r="J29" s="72"/>
      <c r="K29" s="72"/>
      <c r="L29" s="72"/>
      <c r="M29" s="72"/>
      <c r="N29" s="72"/>
      <c r="O29" s="63"/>
      <c r="P29" s="63"/>
      <c r="Q29" s="63"/>
      <c r="R29" s="63"/>
      <c r="S29" s="63"/>
      <c r="U29" s="72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70"/>
      <c r="AI29" s="70"/>
      <c r="AJ29" s="70"/>
      <c r="AK29" s="70"/>
    </row>
    <row r="30" spans="2:37" ht="39" customHeight="1" x14ac:dyDescent="0.4">
      <c r="B30" s="55"/>
      <c r="D30" s="73"/>
      <c r="E30" s="295" t="str">
        <f>IF('CP-5 14001-45001-OSHAS'!B57="","",'CP-5 14001-45001-OSHAS'!B57)</f>
        <v/>
      </c>
      <c r="F30" s="296"/>
      <c r="G30" s="296"/>
      <c r="H30" s="296"/>
      <c r="I30" s="296"/>
      <c r="J30" s="296"/>
      <c r="K30" s="296"/>
      <c r="L30" s="296"/>
      <c r="M30" s="296"/>
      <c r="N30" s="296"/>
      <c r="O30" s="296"/>
      <c r="P30" s="296"/>
      <c r="Q30" s="296"/>
      <c r="R30" s="296"/>
      <c r="S30" s="296"/>
      <c r="T30" s="296"/>
      <c r="U30" s="296"/>
      <c r="V30" s="296"/>
      <c r="W30" s="296"/>
      <c r="X30" s="296"/>
      <c r="Y30" s="296"/>
      <c r="Z30" s="296"/>
      <c r="AA30" s="296"/>
      <c r="AB30" s="296"/>
      <c r="AC30" s="296"/>
      <c r="AD30" s="296"/>
      <c r="AE30" s="296"/>
      <c r="AF30" s="296"/>
      <c r="AG30" s="296"/>
      <c r="AH30" s="296"/>
      <c r="AI30" s="296"/>
      <c r="AJ30" s="296"/>
      <c r="AK30" s="297"/>
    </row>
    <row r="31" spans="2:37" s="46" customFormat="1" ht="39" customHeight="1" x14ac:dyDescent="0.35">
      <c r="B31" s="69"/>
      <c r="C31" s="44"/>
      <c r="D31" s="73"/>
      <c r="E31" s="298"/>
      <c r="F31" s="299"/>
      <c r="G31" s="299"/>
      <c r="H31" s="299"/>
      <c r="I31" s="299"/>
      <c r="J31" s="299"/>
      <c r="K31" s="299"/>
      <c r="L31" s="299"/>
      <c r="M31" s="299"/>
      <c r="N31" s="299"/>
      <c r="O31" s="299"/>
      <c r="P31" s="299"/>
      <c r="Q31" s="299"/>
      <c r="R31" s="299"/>
      <c r="S31" s="299"/>
      <c r="T31" s="299"/>
      <c r="U31" s="299"/>
      <c r="V31" s="299"/>
      <c r="W31" s="299"/>
      <c r="X31" s="299"/>
      <c r="Y31" s="299"/>
      <c r="Z31" s="299"/>
      <c r="AA31" s="299"/>
      <c r="AB31" s="299"/>
      <c r="AC31" s="299"/>
      <c r="AD31" s="299"/>
      <c r="AE31" s="299"/>
      <c r="AF31" s="299"/>
      <c r="AG31" s="299"/>
      <c r="AH31" s="299"/>
      <c r="AI31" s="299"/>
      <c r="AJ31" s="299"/>
      <c r="AK31" s="300"/>
    </row>
    <row r="32" spans="2:37" s="49" customFormat="1" ht="39" customHeight="1" x14ac:dyDescent="0.4">
      <c r="B32" s="55"/>
      <c r="C32" s="44"/>
      <c r="D32" s="73"/>
      <c r="E32" s="301"/>
      <c r="F32" s="302"/>
      <c r="G32" s="302"/>
      <c r="H32" s="302"/>
      <c r="I32" s="302"/>
      <c r="J32" s="302"/>
      <c r="K32" s="302"/>
      <c r="L32" s="302"/>
      <c r="M32" s="302"/>
      <c r="N32" s="302"/>
      <c r="O32" s="302"/>
      <c r="P32" s="302"/>
      <c r="Q32" s="302"/>
      <c r="R32" s="302"/>
      <c r="S32" s="302"/>
      <c r="T32" s="302"/>
      <c r="U32" s="302"/>
      <c r="V32" s="302"/>
      <c r="W32" s="302"/>
      <c r="X32" s="302"/>
      <c r="Y32" s="302"/>
      <c r="Z32" s="302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3"/>
    </row>
    <row r="33" spans="2:34" s="49" customFormat="1" ht="21" customHeight="1" x14ac:dyDescent="0.35">
      <c r="B33" s="67" t="s">
        <v>294</v>
      </c>
      <c r="C33" s="44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63"/>
      <c r="P33" s="63"/>
      <c r="Q33" s="63"/>
    </row>
    <row r="34" spans="2:34" s="49" customFormat="1" ht="21.6" customHeight="1" x14ac:dyDescent="0.4">
      <c r="B34" s="55"/>
      <c r="C34" s="44"/>
      <c r="D34" s="53" t="s">
        <v>284</v>
      </c>
      <c r="E34" s="72"/>
      <c r="F34" s="63" t="s">
        <v>295</v>
      </c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156"/>
      <c r="S34" s="156"/>
      <c r="T34" s="156"/>
      <c r="U34" s="156"/>
      <c r="V34" s="156"/>
      <c r="W34" s="266"/>
      <c r="X34" s="266"/>
      <c r="Y34" s="266"/>
      <c r="Z34" s="266"/>
      <c r="AA34" s="266"/>
      <c r="AB34" s="266"/>
      <c r="AC34" s="266"/>
    </row>
    <row r="35" spans="2:34" s="49" customFormat="1" ht="21.6" hidden="1" customHeight="1" x14ac:dyDescent="0.4">
      <c r="B35" s="55"/>
      <c r="C35" s="44"/>
      <c r="D35" s="53"/>
      <c r="E35" s="72"/>
      <c r="F35" s="271"/>
      <c r="G35" s="271"/>
      <c r="H35" s="271"/>
      <c r="I35" s="271"/>
      <c r="J35" s="271"/>
      <c r="K35" s="271"/>
      <c r="L35" s="271"/>
      <c r="M35" s="271"/>
      <c r="N35" s="271"/>
      <c r="O35" s="271"/>
      <c r="P35" s="271"/>
      <c r="Q35" s="271"/>
      <c r="R35" s="271"/>
      <c r="S35" s="271"/>
      <c r="T35" s="271"/>
      <c r="U35" s="271"/>
      <c r="V35" s="271"/>
      <c r="W35" s="266"/>
      <c r="X35" s="266"/>
      <c r="Y35" s="266"/>
      <c r="Z35" s="266"/>
      <c r="AA35" s="266"/>
      <c r="AB35" s="266"/>
    </row>
    <row r="36" spans="2:34" s="49" customFormat="1" ht="21.6" customHeight="1" x14ac:dyDescent="0.4">
      <c r="B36" s="55"/>
      <c r="C36" s="44"/>
      <c r="D36" s="53" t="s">
        <v>284</v>
      </c>
      <c r="E36" s="72"/>
      <c r="F36" s="306" t="s">
        <v>296</v>
      </c>
      <c r="G36" s="306"/>
      <c r="H36" s="306"/>
      <c r="I36" s="306"/>
      <c r="J36" s="306"/>
      <c r="K36" s="306"/>
      <c r="L36" s="305"/>
      <c r="M36" s="305"/>
      <c r="N36" s="305"/>
      <c r="O36" s="305"/>
      <c r="P36" s="305"/>
      <c r="Q36" s="305"/>
    </row>
    <row r="37" spans="2:34" s="49" customFormat="1" ht="21.6" hidden="1" customHeight="1" x14ac:dyDescent="0.4">
      <c r="B37" s="55"/>
      <c r="D37" s="53" t="s">
        <v>284</v>
      </c>
      <c r="E37" s="72"/>
      <c r="F37" s="72" t="s">
        <v>297</v>
      </c>
      <c r="K37" s="121" t="str">
        <f>IF(CONTROLS!$G$10=TRUE,"P","")</f>
        <v/>
      </c>
      <c r="L37" s="63" t="s">
        <v>298</v>
      </c>
      <c r="N37" s="121" t="str">
        <f>IF(CONTROLS!$G$11=TRUE,"P","")</f>
        <v/>
      </c>
      <c r="O37" s="63" t="s">
        <v>231</v>
      </c>
      <c r="R37" s="121" t="str">
        <f>IF(CONTROLS!$G$12=TRUE,"P","")</f>
        <v/>
      </c>
      <c r="S37" s="63" t="s">
        <v>299</v>
      </c>
    </row>
    <row r="38" spans="2:34" s="49" customFormat="1" ht="21.6" customHeight="1" x14ac:dyDescent="0.4">
      <c r="B38" s="55"/>
      <c r="D38" s="53" t="s">
        <v>284</v>
      </c>
      <c r="E38" s="72"/>
      <c r="F38" s="72" t="s">
        <v>300</v>
      </c>
      <c r="S38" s="121" t="str">
        <f>IF(CONTROLS!$G$13=TRUE,"P","")</f>
        <v/>
      </c>
      <c r="T38" s="63" t="s">
        <v>71</v>
      </c>
      <c r="V38" s="121" t="str">
        <f>IF(CONTROLS!$G$14=TRUE,"P","")</f>
        <v/>
      </c>
      <c r="W38" s="63" t="s">
        <v>54</v>
      </c>
    </row>
    <row r="39" spans="2:34" s="49" customFormat="1" ht="21.6" customHeight="1" x14ac:dyDescent="0.35">
      <c r="B39" s="67" t="s">
        <v>301</v>
      </c>
      <c r="C39" s="44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63"/>
      <c r="P39" s="63"/>
      <c r="Q39" s="63"/>
    </row>
    <row r="40" spans="2:34" s="49" customFormat="1" ht="21.6" customHeight="1" x14ac:dyDescent="0.4">
      <c r="B40" s="55"/>
      <c r="C40" s="44"/>
      <c r="D40" s="53" t="s">
        <v>284</v>
      </c>
      <c r="E40" s="72"/>
      <c r="F40" s="63" t="s">
        <v>302</v>
      </c>
      <c r="G40" s="72"/>
      <c r="H40" s="72"/>
      <c r="I40" s="72"/>
      <c r="J40" s="72"/>
      <c r="K40" s="72"/>
      <c r="L40" s="72"/>
      <c r="M40" s="72"/>
      <c r="N40" s="72"/>
      <c r="O40" s="63"/>
      <c r="P40" s="121" t="str">
        <f>IF(CONTROLS!$G$15=TRUE,"P","")</f>
        <v/>
      </c>
      <c r="Q40" s="63" t="s">
        <v>71</v>
      </c>
      <c r="S40" s="121" t="str">
        <f>IF(CONTROLS!$G$16=TRUE,"P","")</f>
        <v/>
      </c>
      <c r="T40" s="63" t="s">
        <v>54</v>
      </c>
    </row>
    <row r="41" spans="2:34" s="49" customFormat="1" ht="21.6" customHeight="1" x14ac:dyDescent="0.4">
      <c r="B41" s="55"/>
      <c r="C41" s="44"/>
      <c r="D41" s="53" t="s">
        <v>284</v>
      </c>
      <c r="E41" s="72"/>
      <c r="F41" s="72" t="s">
        <v>303</v>
      </c>
      <c r="G41" s="72"/>
      <c r="H41" s="72"/>
      <c r="I41" s="72"/>
      <c r="J41" s="72"/>
      <c r="K41" s="121" t="str">
        <f>IF(CONTROLS!$G$17=TRUE,"P","")</f>
        <v/>
      </c>
      <c r="L41" s="63" t="s">
        <v>71</v>
      </c>
      <c r="N41" s="121" t="str">
        <f>IF(CONTROLS!$G$18=TRUE,"P","")</f>
        <v/>
      </c>
      <c r="O41" s="63" t="s">
        <v>54</v>
      </c>
      <c r="P41" s="63"/>
      <c r="Q41" s="63"/>
    </row>
    <row r="42" spans="2:34" s="49" customFormat="1" ht="22.35" customHeight="1" x14ac:dyDescent="0.35">
      <c r="B42" s="67" t="s">
        <v>304</v>
      </c>
      <c r="C42" s="44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63"/>
      <c r="P42" s="63"/>
      <c r="Q42" s="63"/>
    </row>
    <row r="43" spans="2:34" s="49" customFormat="1" ht="22.35" customHeight="1" x14ac:dyDescent="0.4">
      <c r="B43" s="55"/>
      <c r="C43" s="44"/>
      <c r="D43" s="53" t="s">
        <v>284</v>
      </c>
      <c r="E43" s="72"/>
      <c r="F43" s="63" t="s">
        <v>305</v>
      </c>
      <c r="G43" s="72"/>
      <c r="H43" s="72"/>
      <c r="I43" s="121" t="str">
        <f>IF(CONTROLS!$G$19=TRUE,"P","")</f>
        <v/>
      </c>
      <c r="J43" s="63" t="s">
        <v>306</v>
      </c>
      <c r="K43" s="72"/>
      <c r="L43" s="72"/>
      <c r="M43" s="121" t="str">
        <f>IF(CONTROLS!$G$20=TRUE,"P","")</f>
        <v/>
      </c>
      <c r="N43" s="63" t="s">
        <v>307</v>
      </c>
      <c r="O43" s="63"/>
      <c r="R43" s="121" t="str">
        <f>IF(CONTROLS!$G$21=TRUE,"P","")</f>
        <v/>
      </c>
      <c r="S43" s="63" t="s">
        <v>308</v>
      </c>
      <c r="U43" s="121" t="str">
        <f>IF(CONTROLS!$G$22=TRUE,"P","")</f>
        <v/>
      </c>
      <c r="V43" s="63" t="s">
        <v>309</v>
      </c>
      <c r="AC43" s="121" t="str">
        <f>IF(CONTROLS!$G$23=TRUE,"P","")</f>
        <v/>
      </c>
      <c r="AD43" s="63" t="s">
        <v>310</v>
      </c>
      <c r="AG43" s="121" t="str">
        <f>IF(CONTROLS!$G$24=TRUE,"P","")</f>
        <v/>
      </c>
      <c r="AH43" s="63" t="s">
        <v>311</v>
      </c>
    </row>
    <row r="44" spans="2:34" s="52" customFormat="1" ht="6.6" customHeight="1" x14ac:dyDescent="0.25">
      <c r="B44" s="67"/>
    </row>
    <row r="45" spans="2:34" s="46" customFormat="1" ht="22.35" customHeight="1" x14ac:dyDescent="0.35">
      <c r="B45" s="69"/>
      <c r="I45" s="121" t="str">
        <f>IF(CONTROLS!$G$25=TRUE,"P","")</f>
        <v/>
      </c>
      <c r="J45" s="63" t="s">
        <v>312</v>
      </c>
      <c r="O45" s="121" t="str">
        <f>IF(CONTROLS!$G$26=TRUE,"P","")</f>
        <v/>
      </c>
      <c r="P45" s="63" t="s">
        <v>313</v>
      </c>
      <c r="R45" s="121" t="str">
        <f>IF(CONTROLS!$G$27=TRUE,"P","")</f>
        <v/>
      </c>
      <c r="S45" s="63" t="s">
        <v>314</v>
      </c>
      <c r="Y45" s="121" t="str">
        <f>IF(CONTROLS!$G$28=TRUE,"P","")</f>
        <v/>
      </c>
      <c r="Z45" s="63" t="s">
        <v>315</v>
      </c>
    </row>
    <row r="46" spans="2:34" s="49" customFormat="1" ht="22.35" customHeight="1" x14ac:dyDescent="0.35">
      <c r="B46" s="67" t="s">
        <v>316</v>
      </c>
      <c r="C46" s="44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63"/>
      <c r="P46" s="63"/>
      <c r="Q46" s="63"/>
    </row>
    <row r="47" spans="2:34" s="49" customFormat="1" ht="22.35" customHeight="1" x14ac:dyDescent="0.4">
      <c r="B47" s="55"/>
      <c r="C47" s="44"/>
      <c r="D47" s="53" t="s">
        <v>284</v>
      </c>
      <c r="E47" s="72"/>
      <c r="F47" s="271" t="s">
        <v>317</v>
      </c>
      <c r="G47" s="271"/>
      <c r="H47" s="271"/>
      <c r="I47" s="271"/>
      <c r="J47" s="271"/>
      <c r="K47" s="271"/>
      <c r="L47" s="271"/>
      <c r="M47" s="271"/>
      <c r="N47" s="271"/>
      <c r="O47" s="271"/>
      <c r="P47" s="271"/>
      <c r="Q47" s="305"/>
      <c r="R47" s="305"/>
      <c r="S47" s="305"/>
      <c r="T47" s="305"/>
      <c r="U47" s="305"/>
      <c r="V47" s="305"/>
      <c r="W47" s="305"/>
    </row>
    <row r="48" spans="2:34" s="49" customFormat="1" ht="22.35" customHeight="1" x14ac:dyDescent="0.4">
      <c r="B48" s="55"/>
      <c r="C48" s="44"/>
      <c r="D48" s="53" t="s">
        <v>284</v>
      </c>
      <c r="E48" s="72"/>
      <c r="F48" s="271" t="s">
        <v>318</v>
      </c>
      <c r="G48" s="271"/>
      <c r="H48" s="271"/>
      <c r="I48" s="271"/>
      <c r="J48" s="271"/>
      <c r="K48" s="271"/>
      <c r="L48" s="271"/>
      <c r="M48" s="271"/>
      <c r="N48" s="271"/>
      <c r="O48" s="271"/>
      <c r="P48" s="271"/>
      <c r="Q48" s="271"/>
      <c r="R48" s="271"/>
      <c r="S48" s="271"/>
      <c r="T48" s="271"/>
      <c r="U48" s="266"/>
      <c r="V48" s="266"/>
      <c r="W48" s="266"/>
      <c r="X48" s="266"/>
      <c r="Y48" s="266"/>
      <c r="Z48" s="266"/>
    </row>
    <row r="49" spans="2:42" s="49" customFormat="1" ht="22.35" customHeight="1" x14ac:dyDescent="0.35">
      <c r="B49" s="67" t="s">
        <v>319</v>
      </c>
      <c r="C49" s="44"/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63"/>
      <c r="P49" s="63"/>
      <c r="Q49" s="63"/>
    </row>
    <row r="50" spans="2:42" s="49" customFormat="1" ht="22.35" customHeight="1" x14ac:dyDescent="0.4">
      <c r="B50" s="55"/>
      <c r="C50" s="44"/>
      <c r="D50" s="53" t="s">
        <v>284</v>
      </c>
      <c r="E50" s="72"/>
      <c r="F50" s="63" t="s">
        <v>320</v>
      </c>
      <c r="G50" s="72"/>
      <c r="H50" s="72"/>
      <c r="I50" s="72"/>
      <c r="J50" s="72"/>
      <c r="K50" s="121" t="str">
        <f>IF(CONTROLS!$G$29=TRUE,"P","")</f>
        <v/>
      </c>
      <c r="L50" s="63" t="s">
        <v>321</v>
      </c>
      <c r="M50" s="72"/>
      <c r="N50" s="72"/>
      <c r="O50" s="121" t="str">
        <f>IF(CONTROLS!$G$30=TRUE,"P","")</f>
        <v/>
      </c>
      <c r="P50" s="63" t="s">
        <v>322</v>
      </c>
      <c r="Q50" s="63"/>
      <c r="T50" s="121" t="str">
        <f>IF(CONTROLS!$G$31=TRUE,"P","")</f>
        <v/>
      </c>
      <c r="U50" s="63" t="s">
        <v>323</v>
      </c>
      <c r="X50" s="121" t="str">
        <f>IF(CONTROLS!$G$32=TRUE,"P","")</f>
        <v/>
      </c>
      <c r="Y50" s="63" t="s">
        <v>324</v>
      </c>
      <c r="AB50" s="121" t="str">
        <f>IF(CONTROLS!$G$33=TRUE,"P","")</f>
        <v/>
      </c>
      <c r="AC50" s="63" t="s">
        <v>325</v>
      </c>
      <c r="AE50" s="121" t="str">
        <f>IF(CONTROLS!$G$34=TRUE,"P","")</f>
        <v/>
      </c>
      <c r="AF50" s="63" t="s">
        <v>326</v>
      </c>
      <c r="AI50" s="121" t="str">
        <f>IF(CONTROLS!$G$35=TRUE,"P","")</f>
        <v/>
      </c>
      <c r="AJ50" s="63" t="s">
        <v>327</v>
      </c>
    </row>
    <row r="51" spans="2:42" s="49" customFormat="1" ht="22.35" customHeight="1" x14ac:dyDescent="0.4">
      <c r="B51" s="55"/>
      <c r="C51" s="44"/>
      <c r="D51" s="63"/>
      <c r="E51" s="72"/>
      <c r="F51" s="121" t="str">
        <f>IF(CONTROLS!$G$36=TRUE,"P","")</f>
        <v/>
      </c>
      <c r="G51" s="63" t="s">
        <v>328</v>
      </c>
      <c r="H51" s="72"/>
      <c r="I51" s="72"/>
      <c r="J51" s="304"/>
      <c r="K51" s="304"/>
      <c r="L51" s="304"/>
      <c r="M51" s="304"/>
      <c r="N51" s="304"/>
      <c r="O51" s="304"/>
      <c r="P51" s="304"/>
      <c r="Q51" s="304"/>
      <c r="R51" s="304"/>
      <c r="S51" s="304"/>
      <c r="T51" s="304"/>
      <c r="U51" s="304"/>
      <c r="V51" s="304"/>
      <c r="W51" s="304"/>
      <c r="X51" s="304"/>
      <c r="Y51" s="304"/>
      <c r="Z51" s="304"/>
      <c r="AA51" s="304"/>
      <c r="AB51" s="304"/>
      <c r="AC51" s="304"/>
      <c r="AD51" s="304"/>
      <c r="AE51" s="304"/>
      <c r="AF51" s="304"/>
      <c r="AG51" s="304"/>
      <c r="AH51" s="304"/>
      <c r="AI51" s="304"/>
      <c r="AJ51" s="304"/>
      <c r="AK51" s="304"/>
    </row>
    <row r="52" spans="2:42" s="49" customFormat="1" ht="22.35" customHeight="1" x14ac:dyDescent="0.4">
      <c r="B52" s="55"/>
      <c r="C52" s="44"/>
      <c r="D52" s="53" t="s">
        <v>284</v>
      </c>
      <c r="E52" s="72"/>
      <c r="F52" s="268" t="s">
        <v>329</v>
      </c>
      <c r="G52" s="268"/>
      <c r="H52" s="268"/>
      <c r="I52" s="268"/>
      <c r="J52" s="268"/>
      <c r="K52" s="268"/>
      <c r="L52" s="268"/>
      <c r="M52" s="268"/>
      <c r="N52" s="268"/>
      <c r="O52" s="268"/>
      <c r="P52" s="268"/>
      <c r="Q52" s="304"/>
      <c r="R52" s="304"/>
      <c r="S52" s="304"/>
      <c r="T52" s="304"/>
      <c r="U52" s="304"/>
      <c r="V52" s="304"/>
      <c r="W52" s="304"/>
      <c r="X52" s="304"/>
      <c r="Y52" s="304"/>
      <c r="Z52" s="304"/>
      <c r="AA52" s="304"/>
      <c r="AB52" s="304"/>
      <c r="AC52" s="304"/>
      <c r="AD52" s="304"/>
      <c r="AE52" s="304"/>
      <c r="AF52" s="304"/>
      <c r="AG52" s="304"/>
      <c r="AH52" s="304"/>
      <c r="AI52" s="304"/>
      <c r="AJ52" s="304"/>
      <c r="AK52" s="304"/>
    </row>
    <row r="53" spans="2:42" s="49" customFormat="1" ht="22.35" customHeight="1" x14ac:dyDescent="0.4">
      <c r="B53" s="55"/>
      <c r="C53" s="44"/>
      <c r="D53" s="53" t="s">
        <v>284</v>
      </c>
      <c r="E53" s="72"/>
      <c r="F53" s="268" t="s">
        <v>330</v>
      </c>
      <c r="G53" s="268"/>
      <c r="H53" s="268"/>
      <c r="I53" s="268"/>
      <c r="J53" s="268"/>
      <c r="K53" s="268"/>
      <c r="L53" s="268"/>
      <c r="M53" s="268"/>
      <c r="N53" s="305"/>
      <c r="O53" s="305"/>
      <c r="P53" s="305"/>
      <c r="Q53" s="305"/>
      <c r="R53" s="305"/>
      <c r="S53" s="305"/>
      <c r="T53" s="305"/>
      <c r="U53" s="305"/>
      <c r="V53" s="305"/>
      <c r="W53" s="305"/>
      <c r="X53" s="305"/>
      <c r="Y53" s="305"/>
      <c r="Z53" s="305"/>
      <c r="AA53" s="305"/>
      <c r="AB53" s="305"/>
      <c r="AC53" s="305"/>
      <c r="AD53" s="305"/>
      <c r="AE53" s="305"/>
      <c r="AF53" s="305"/>
      <c r="AG53" s="305"/>
      <c r="AH53" s="305"/>
      <c r="AI53" s="305"/>
      <c r="AJ53" s="305"/>
      <c r="AK53" s="305"/>
    </row>
    <row r="54" spans="2:42" s="49" customFormat="1" ht="22.35" customHeight="1" x14ac:dyDescent="0.35">
      <c r="B54" s="67" t="s">
        <v>331</v>
      </c>
      <c r="C54" s="44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</row>
    <row r="55" spans="2:42" s="49" customFormat="1" ht="22.35" customHeight="1" x14ac:dyDescent="0.4">
      <c r="B55" s="55"/>
      <c r="C55" s="44"/>
      <c r="D55" s="53" t="s">
        <v>284</v>
      </c>
      <c r="E55" s="72"/>
      <c r="F55" s="63" t="s">
        <v>332</v>
      </c>
      <c r="G55" s="72"/>
      <c r="H55" s="72"/>
      <c r="I55" s="72"/>
      <c r="J55" s="72"/>
      <c r="L55" s="121" t="str">
        <f>IF(CONTROLS!$G$37=TRUE,"P","")</f>
        <v/>
      </c>
      <c r="M55" s="63" t="s">
        <v>333</v>
      </c>
      <c r="N55" s="72"/>
      <c r="O55" s="44"/>
      <c r="P55" s="44"/>
      <c r="Q55" s="44"/>
      <c r="S55" s="121" t="str">
        <f>IF(CONTROLS!$G$38=TRUE,"P","")</f>
        <v/>
      </c>
      <c r="T55" s="63" t="s">
        <v>334</v>
      </c>
      <c r="U55" s="44"/>
      <c r="V55" s="44"/>
      <c r="W55" s="44"/>
      <c r="X55" s="44"/>
      <c r="Z55" s="121" t="str">
        <f>IF(CONTROLS!$G$39=TRUE,"P","")</f>
        <v/>
      </c>
      <c r="AA55" s="63" t="s">
        <v>335</v>
      </c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</row>
    <row r="56" spans="2:42" s="49" customFormat="1" ht="22.35" customHeight="1" x14ac:dyDescent="0.4">
      <c r="B56" s="55"/>
      <c r="C56" s="44"/>
      <c r="D56" s="53" t="s">
        <v>284</v>
      </c>
      <c r="E56" s="72"/>
      <c r="F56" s="63" t="s">
        <v>336</v>
      </c>
      <c r="G56" s="72"/>
      <c r="H56" s="72"/>
      <c r="I56" s="72"/>
      <c r="J56" s="72"/>
      <c r="N56" s="121" t="str">
        <f>IF(CONTROLS!$G$40=TRUE,"P","")</f>
        <v/>
      </c>
      <c r="O56" s="63" t="s">
        <v>337</v>
      </c>
      <c r="P56" s="72"/>
      <c r="Q56" s="44"/>
      <c r="R56" s="44"/>
      <c r="S56" s="44"/>
      <c r="U56" s="121" t="str">
        <f>IF(CONTROLS!$G$41=TRUE,"P","")</f>
        <v/>
      </c>
      <c r="V56" s="63" t="s">
        <v>334</v>
      </c>
      <c r="W56" s="44"/>
      <c r="X56" s="44"/>
      <c r="Y56" s="44"/>
      <c r="Z56" s="44"/>
      <c r="AB56" s="121" t="str">
        <f>IF(CONTROLS!$G$42=TRUE,"P","")</f>
        <v/>
      </c>
      <c r="AC56" s="63" t="s">
        <v>335</v>
      </c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</row>
    <row r="57" spans="2:42" s="49" customFormat="1" ht="22.35" customHeight="1" x14ac:dyDescent="0.4">
      <c r="B57" s="55"/>
      <c r="C57" s="44"/>
      <c r="D57" s="63"/>
      <c r="E57" s="72"/>
      <c r="F57" s="63"/>
      <c r="G57" s="72"/>
      <c r="H57" s="72"/>
      <c r="I57" s="72"/>
      <c r="J57" s="72"/>
      <c r="N57" s="121"/>
      <c r="O57" s="63"/>
      <c r="P57" s="72"/>
      <c r="Q57" s="44"/>
      <c r="R57" s="44"/>
      <c r="S57" s="44"/>
      <c r="U57" s="121"/>
      <c r="V57" s="63"/>
      <c r="W57" s="44"/>
      <c r="X57" s="44"/>
      <c r="Y57" s="44"/>
      <c r="Z57" s="44"/>
      <c r="AB57" s="121"/>
      <c r="AC57" s="63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</row>
    <row r="58" spans="2:42" s="49" customFormat="1" ht="22.35" customHeight="1" x14ac:dyDescent="0.4">
      <c r="B58" s="55"/>
      <c r="C58" s="44"/>
      <c r="D58" s="53" t="s">
        <v>284</v>
      </c>
      <c r="E58" s="72"/>
      <c r="F58" s="63" t="s">
        <v>338</v>
      </c>
      <c r="G58" s="72"/>
      <c r="H58" s="72"/>
      <c r="I58" s="72"/>
      <c r="J58" s="72"/>
      <c r="T58" s="121" t="str">
        <f>IF(CONTROLS!$G$43=TRUE,"P","")</f>
        <v/>
      </c>
      <c r="U58" s="63" t="s">
        <v>333</v>
      </c>
      <c r="V58" s="72"/>
      <c r="W58" s="44"/>
      <c r="X58" s="44"/>
      <c r="Y58" s="44"/>
      <c r="AA58" s="121" t="str">
        <f>IF(CONTROLS!$G$44=TRUE,"P","")</f>
        <v/>
      </c>
      <c r="AB58" s="63" t="s">
        <v>334</v>
      </c>
      <c r="AC58" s="44"/>
      <c r="AD58" s="44"/>
      <c r="AE58" s="44"/>
      <c r="AF58" s="44"/>
      <c r="AH58" s="121" t="str">
        <f>IF(CONTROLS!$G$45=TRUE,"P","")</f>
        <v/>
      </c>
      <c r="AI58" s="63" t="s">
        <v>339</v>
      </c>
      <c r="AJ58" s="44"/>
      <c r="AK58" s="44"/>
      <c r="AL58" s="44"/>
      <c r="AO58" s="44"/>
      <c r="AP58" s="44"/>
    </row>
    <row r="59" spans="2:42" s="56" customFormat="1" ht="22.35" customHeight="1" x14ac:dyDescent="0.4">
      <c r="B59" s="74"/>
      <c r="F59" s="63" t="s">
        <v>340</v>
      </c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</row>
    <row r="60" spans="2:42" s="49" customFormat="1" ht="22.35" customHeight="1" x14ac:dyDescent="0.4">
      <c r="B60" s="55"/>
      <c r="C60" s="44"/>
      <c r="D60" s="53" t="s">
        <v>284</v>
      </c>
      <c r="E60" s="72"/>
      <c r="F60" s="63" t="s">
        <v>341</v>
      </c>
      <c r="G60" s="72"/>
      <c r="H60" s="72"/>
      <c r="I60" s="72"/>
      <c r="J60" s="72"/>
      <c r="N60" s="121" t="str">
        <f>IF(CONTROLS!$G$46=TRUE,"P","")</f>
        <v/>
      </c>
      <c r="O60" s="63" t="s">
        <v>333</v>
      </c>
      <c r="P60" s="72"/>
      <c r="Q60" s="44"/>
      <c r="R60" s="44"/>
      <c r="S60" s="44"/>
      <c r="U60" s="121" t="str">
        <f>IF(CONTROLS!$G$47=TRUE,"P","")</f>
        <v/>
      </c>
      <c r="V60" s="63" t="s">
        <v>334</v>
      </c>
      <c r="W60" s="44"/>
      <c r="X60" s="44"/>
      <c r="Y60" s="44"/>
      <c r="Z60" s="44"/>
      <c r="AB60" s="121" t="str">
        <f>IF(CONTROLS!$G$48=TRUE,"P","")</f>
        <v/>
      </c>
      <c r="AC60" s="63" t="s">
        <v>342</v>
      </c>
      <c r="AD60" s="44"/>
      <c r="AE60" s="44"/>
      <c r="AF60" s="44"/>
      <c r="AG60" s="44"/>
      <c r="AO60" s="44"/>
      <c r="AP60" s="44"/>
    </row>
    <row r="61" spans="2:42" s="49" customFormat="1" ht="22.35" customHeight="1" x14ac:dyDescent="0.4">
      <c r="B61" s="55"/>
      <c r="C61" s="44"/>
      <c r="D61" s="53" t="s">
        <v>284</v>
      </c>
      <c r="E61" s="72"/>
      <c r="F61" s="63" t="s">
        <v>343</v>
      </c>
      <c r="G61" s="72"/>
      <c r="H61" s="72"/>
      <c r="I61" s="72"/>
      <c r="J61" s="72"/>
      <c r="L61" s="121" t="str">
        <f>IF(CONTROLS!$G$49=TRUE,"P","")</f>
        <v/>
      </c>
      <c r="M61" s="63" t="s">
        <v>333</v>
      </c>
      <c r="N61" s="72"/>
      <c r="O61" s="44"/>
      <c r="P61" s="44"/>
      <c r="Q61" s="44"/>
      <c r="S61" s="121" t="str">
        <f>IF(CONTROLS!$G$50=TRUE,"P","")</f>
        <v/>
      </c>
      <c r="T61" s="63" t="s">
        <v>334</v>
      </c>
      <c r="U61" s="44"/>
      <c r="V61" s="44"/>
      <c r="W61" s="44"/>
      <c r="X61" s="44"/>
      <c r="Z61" s="121" t="str">
        <f>IF(CONTROLS!$G$51=TRUE,"P","")</f>
        <v/>
      </c>
      <c r="AA61" s="63" t="s">
        <v>342</v>
      </c>
      <c r="AB61" s="44"/>
      <c r="AC61" s="44"/>
      <c r="AD61" s="44"/>
      <c r="AE61" s="44"/>
      <c r="AO61" s="44"/>
      <c r="AP61" s="44"/>
    </row>
    <row r="62" spans="2:42" s="49" customFormat="1" ht="22.35" customHeight="1" x14ac:dyDescent="0.4">
      <c r="B62" s="55"/>
      <c r="C62" s="44"/>
      <c r="D62" s="53" t="s">
        <v>284</v>
      </c>
      <c r="E62" s="72"/>
      <c r="F62" s="63" t="s">
        <v>344</v>
      </c>
      <c r="G62" s="72"/>
      <c r="H62" s="72"/>
      <c r="I62" s="72"/>
      <c r="J62" s="72"/>
      <c r="Q62" s="121" t="str">
        <f>IF(CONTROLS!$G$52=TRUE,"P","")</f>
        <v/>
      </c>
      <c r="R62" s="63" t="s">
        <v>333</v>
      </c>
      <c r="S62" s="72"/>
      <c r="T62" s="44"/>
      <c r="U62" s="44"/>
      <c r="V62" s="44"/>
      <c r="X62" s="121" t="str">
        <f>IF(CONTROLS!$G$53=TRUE,"P","")</f>
        <v/>
      </c>
      <c r="Y62" s="63" t="s">
        <v>334</v>
      </c>
      <c r="Z62" s="44"/>
      <c r="AA62" s="44"/>
      <c r="AB62" s="44"/>
      <c r="AC62" s="44"/>
      <c r="AE62" s="121" t="str">
        <f>IF(CONTROLS!$G$54=TRUE,"P","")</f>
        <v/>
      </c>
      <c r="AF62" s="63" t="s">
        <v>342</v>
      </c>
      <c r="AG62" s="44"/>
      <c r="AH62" s="44"/>
      <c r="AI62" s="44"/>
      <c r="AJ62" s="44"/>
    </row>
    <row r="63" spans="2:42" s="63" customFormat="1" ht="58.7" customHeight="1" x14ac:dyDescent="0.25">
      <c r="B63" s="61"/>
      <c r="C63" s="62"/>
      <c r="G63" s="75"/>
      <c r="AB63" s="72"/>
      <c r="AF63" s="72"/>
    </row>
    <row r="64" spans="2:42" ht="27.75" x14ac:dyDescent="0.4">
      <c r="B64" s="55"/>
      <c r="C64" s="63"/>
      <c r="E64" s="63"/>
      <c r="F64" s="63"/>
      <c r="H64" s="63" t="s">
        <v>271</v>
      </c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</row>
    <row r="65" spans="2:16" ht="21.6" customHeight="1" x14ac:dyDescent="0.4">
      <c r="B65" s="55"/>
      <c r="H65" s="44" t="s">
        <v>345</v>
      </c>
      <c r="P65" s="44" t="s">
        <v>273</v>
      </c>
    </row>
    <row r="66" spans="2:16" ht="27.75" x14ac:dyDescent="0.4">
      <c r="B66" s="55"/>
    </row>
    <row r="67" spans="2:16" ht="27.75" x14ac:dyDescent="0.4">
      <c r="B67" s="55"/>
    </row>
    <row r="68" spans="2:16" ht="27.75" x14ac:dyDescent="0.4">
      <c r="B68" s="55"/>
    </row>
    <row r="69" spans="2:16" ht="27.75" x14ac:dyDescent="0.4">
      <c r="B69" s="55"/>
    </row>
    <row r="70" spans="2:16" ht="27.75" x14ac:dyDescent="0.4">
      <c r="B70" s="55"/>
    </row>
    <row r="71" spans="2:16" ht="27.75" x14ac:dyDescent="0.4">
      <c r="B71" s="55"/>
    </row>
    <row r="72" spans="2:16" ht="27.75" x14ac:dyDescent="0.4">
      <c r="B72" s="55"/>
    </row>
    <row r="73" spans="2:16" ht="27.75" x14ac:dyDescent="0.4">
      <c r="B73" s="55"/>
    </row>
    <row r="74" spans="2:16" ht="27.75" x14ac:dyDescent="0.4">
      <c r="B74" s="55"/>
    </row>
    <row r="75" spans="2:16" ht="27.75" x14ac:dyDescent="0.4">
      <c r="B75" s="55"/>
    </row>
    <row r="76" spans="2:16" ht="27.75" x14ac:dyDescent="0.4">
      <c r="B76" s="55"/>
    </row>
    <row r="77" spans="2:16" ht="27.75" x14ac:dyDescent="0.4">
      <c r="B77" s="55"/>
    </row>
    <row r="78" spans="2:16" ht="27.75" x14ac:dyDescent="0.4">
      <c r="B78" s="55"/>
    </row>
    <row r="79" spans="2:16" ht="27.75" x14ac:dyDescent="0.4">
      <c r="B79" s="55"/>
    </row>
    <row r="80" spans="2:16" ht="27.75" x14ac:dyDescent="0.4">
      <c r="B80" s="55"/>
    </row>
    <row r="81" spans="2:2" ht="27.75" x14ac:dyDescent="0.4">
      <c r="B81" s="55"/>
    </row>
    <row r="82" spans="2:2" ht="27.75" x14ac:dyDescent="0.4">
      <c r="B82" s="55"/>
    </row>
    <row r="83" spans="2:2" ht="27.75" x14ac:dyDescent="0.4">
      <c r="B83" s="55"/>
    </row>
  </sheetData>
  <sheetProtection algorithmName="SHA-512" hashValue="9PmoKJF5+KDQktcOo1OqjbOZqnLUy0INoHN/Y4EyXrSYYx9BEk/f8QK718s5zd9YwOWPuWsGd6flWRUP0AMpAw==" saltValue="KiirbFTJ5zlGK4cpV2IsjA==" spinCount="100000" sheet="1" objects="1" formatRows="0"/>
  <mergeCells count="31">
    <mergeCell ref="N53:AK53"/>
    <mergeCell ref="F53:M53"/>
    <mergeCell ref="W35:AB35"/>
    <mergeCell ref="F35:V35"/>
    <mergeCell ref="J51:AK51"/>
    <mergeCell ref="Q52:AK52"/>
    <mergeCell ref="F52:P52"/>
    <mergeCell ref="L36:Q36"/>
    <mergeCell ref="F36:K36"/>
    <mergeCell ref="Q47:W47"/>
    <mergeCell ref="F47:P47"/>
    <mergeCell ref="U48:Z48"/>
    <mergeCell ref="F48:T48"/>
    <mergeCell ref="F14:Q14"/>
    <mergeCell ref="R14:AK14"/>
    <mergeCell ref="F13:K13"/>
    <mergeCell ref="L13:AK13"/>
    <mergeCell ref="B2:AK2"/>
    <mergeCell ref="Z5:AK5"/>
    <mergeCell ref="AG7:AK7"/>
    <mergeCell ref="Q6:V6"/>
    <mergeCell ref="W6:AK6"/>
    <mergeCell ref="T5:Y5"/>
    <mergeCell ref="C8:AK8"/>
    <mergeCell ref="S12:AK12"/>
    <mergeCell ref="F12:R12"/>
    <mergeCell ref="W34:AC34"/>
    <mergeCell ref="E17:AK19"/>
    <mergeCell ref="E21:AK23"/>
    <mergeCell ref="E26:AK28"/>
    <mergeCell ref="E30:AK32"/>
  </mergeCells>
  <conditionalFormatting sqref="AG7:AK7">
    <cfRule type="notContainsBlanks" dxfId="57" priority="8">
      <formula>LEN(TRIM(AG7))&gt;0</formula>
    </cfRule>
    <cfRule type="expression" dxfId="56" priority="11">
      <formula>$S$7="P"</formula>
    </cfRule>
  </conditionalFormatting>
  <conditionalFormatting sqref="C8:AK8">
    <cfRule type="notContainsBlanks" dxfId="55" priority="1">
      <formula>LEN(TRIM(C8))&gt;0</formula>
    </cfRule>
    <cfRule type="expression" dxfId="54" priority="2">
      <formula>$S$7="P"</formula>
    </cfRule>
  </conditionalFormatting>
  <pageMargins left="1" right="0.7" top="0.2" bottom="0.15" header="0.3" footer="0.3"/>
  <pageSetup scale="43" orientation="portrait" r:id="rId1"/>
  <ignoredErrors>
    <ignoredError sqref="W6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0" r:id="rId4" name="Check Box 198">
              <controlPr defaultSize="0" print="0" autoFill="0" autoLine="0" autoPict="0">
                <anchor moveWithCells="1">
                  <from>
                    <xdr:col>12</xdr:col>
                    <xdr:colOff>85725</xdr:colOff>
                    <xdr:row>6</xdr:row>
                    <xdr:rowOff>28575</xdr:rowOff>
                  </from>
                  <to>
                    <xdr:col>12</xdr:col>
                    <xdr:colOff>333375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1" r:id="rId5" name="Check Box 199">
              <controlPr defaultSize="0" print="0" autoFill="0" autoLine="0" autoPict="0">
                <anchor moveWithCells="1">
                  <from>
                    <xdr:col>18</xdr:col>
                    <xdr:colOff>85725</xdr:colOff>
                    <xdr:row>6</xdr:row>
                    <xdr:rowOff>28575</xdr:rowOff>
                  </from>
                  <to>
                    <xdr:col>18</xdr:col>
                    <xdr:colOff>333375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5" r:id="rId6" name="Check Box 203">
              <controlPr defaultSize="0" print="0" autoFill="0" autoLine="0" autoPict="0">
                <anchor moveWithCells="1">
                  <from>
                    <xdr:col>21</xdr:col>
                    <xdr:colOff>161925</xdr:colOff>
                    <xdr:row>37</xdr:row>
                    <xdr:rowOff>28575</xdr:rowOff>
                  </from>
                  <to>
                    <xdr:col>21</xdr:col>
                    <xdr:colOff>409575</xdr:colOff>
                    <xdr:row>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6" r:id="rId7" name="Check Box 204">
              <controlPr defaultSize="0" print="0" autoFill="0" autoLine="0" autoPict="0">
                <anchor moveWithCells="1">
                  <from>
                    <xdr:col>18</xdr:col>
                    <xdr:colOff>85725</xdr:colOff>
                    <xdr:row>37</xdr:row>
                    <xdr:rowOff>28575</xdr:rowOff>
                  </from>
                  <to>
                    <xdr:col>18</xdr:col>
                    <xdr:colOff>333375</xdr:colOff>
                    <xdr:row>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" r:id="rId8" name="Check Box 205">
              <controlPr defaultSize="0" print="0" autoFill="0" autoLine="0" autoPict="0">
                <anchor moveWithCells="1">
                  <from>
                    <xdr:col>15</xdr:col>
                    <xdr:colOff>85725</xdr:colOff>
                    <xdr:row>39</xdr:row>
                    <xdr:rowOff>28575</xdr:rowOff>
                  </from>
                  <to>
                    <xdr:col>15</xdr:col>
                    <xdr:colOff>333375</xdr:colOff>
                    <xdr:row>39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" r:id="rId9" name="Check Box 206">
              <controlPr defaultSize="0" print="0" autoFill="0" autoLine="0" autoPict="0">
                <anchor moveWithCells="1">
                  <from>
                    <xdr:col>18</xdr:col>
                    <xdr:colOff>85725</xdr:colOff>
                    <xdr:row>39</xdr:row>
                    <xdr:rowOff>28575</xdr:rowOff>
                  </from>
                  <to>
                    <xdr:col>18</xdr:col>
                    <xdr:colOff>333375</xdr:colOff>
                    <xdr:row>39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" r:id="rId10" name="Check Box 207">
              <controlPr defaultSize="0" print="0" autoFill="0" autoLine="0" autoPict="0">
                <anchor moveWithCells="1">
                  <from>
                    <xdr:col>13</xdr:col>
                    <xdr:colOff>85725</xdr:colOff>
                    <xdr:row>40</xdr:row>
                    <xdr:rowOff>28575</xdr:rowOff>
                  </from>
                  <to>
                    <xdr:col>13</xdr:col>
                    <xdr:colOff>333375</xdr:colOff>
                    <xdr:row>40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" r:id="rId11" name="Check Box 208">
              <controlPr defaultSize="0" print="0" autoFill="0" autoLine="0" autoPict="0">
                <anchor moveWithCells="1">
                  <from>
                    <xdr:col>10</xdr:col>
                    <xdr:colOff>85725</xdr:colOff>
                    <xdr:row>40</xdr:row>
                    <xdr:rowOff>28575</xdr:rowOff>
                  </from>
                  <to>
                    <xdr:col>10</xdr:col>
                    <xdr:colOff>333375</xdr:colOff>
                    <xdr:row>40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" r:id="rId12" name="Check Box 209">
              <controlPr defaultSize="0" print="0" autoFill="0" autoLine="0" autoPict="0">
                <anchor moveWithCells="1">
                  <from>
                    <xdr:col>8</xdr:col>
                    <xdr:colOff>85725</xdr:colOff>
                    <xdr:row>42</xdr:row>
                    <xdr:rowOff>28575</xdr:rowOff>
                  </from>
                  <to>
                    <xdr:col>8</xdr:col>
                    <xdr:colOff>333375</xdr:colOff>
                    <xdr:row>42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" r:id="rId13" name="Check Box 210">
              <controlPr defaultSize="0" print="0" autoFill="0" autoLine="0" autoPict="0">
                <anchor moveWithCells="1">
                  <from>
                    <xdr:col>8</xdr:col>
                    <xdr:colOff>85725</xdr:colOff>
                    <xdr:row>44</xdr:row>
                    <xdr:rowOff>28575</xdr:rowOff>
                  </from>
                  <to>
                    <xdr:col>8</xdr:col>
                    <xdr:colOff>333375</xdr:colOff>
                    <xdr:row>44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" r:id="rId14" name="Check Box 211">
              <controlPr defaultSize="0" print="0" autoFill="0" autoLine="0" autoPict="0">
                <anchor moveWithCells="1">
                  <from>
                    <xdr:col>12</xdr:col>
                    <xdr:colOff>85725</xdr:colOff>
                    <xdr:row>42</xdr:row>
                    <xdr:rowOff>28575</xdr:rowOff>
                  </from>
                  <to>
                    <xdr:col>12</xdr:col>
                    <xdr:colOff>333375</xdr:colOff>
                    <xdr:row>42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" r:id="rId15" name="Check Box 212">
              <controlPr defaultSize="0" print="0" autoFill="0" autoLine="0" autoPict="0">
                <anchor moveWithCells="1">
                  <from>
                    <xdr:col>17</xdr:col>
                    <xdr:colOff>85725</xdr:colOff>
                    <xdr:row>42</xdr:row>
                    <xdr:rowOff>28575</xdr:rowOff>
                  </from>
                  <to>
                    <xdr:col>17</xdr:col>
                    <xdr:colOff>333375</xdr:colOff>
                    <xdr:row>42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" r:id="rId16" name="Check Box 213">
              <controlPr defaultSize="0" print="0" autoFill="0" autoLine="0" autoPict="0">
                <anchor moveWithCells="1">
                  <from>
                    <xdr:col>14</xdr:col>
                    <xdr:colOff>85725</xdr:colOff>
                    <xdr:row>44</xdr:row>
                    <xdr:rowOff>28575</xdr:rowOff>
                  </from>
                  <to>
                    <xdr:col>14</xdr:col>
                    <xdr:colOff>333375</xdr:colOff>
                    <xdr:row>44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" r:id="rId17" name="Check Box 214">
              <controlPr defaultSize="0" print="0" autoFill="0" autoLine="0" autoPict="0">
                <anchor moveWithCells="1">
                  <from>
                    <xdr:col>17</xdr:col>
                    <xdr:colOff>85725</xdr:colOff>
                    <xdr:row>44</xdr:row>
                    <xdr:rowOff>28575</xdr:rowOff>
                  </from>
                  <to>
                    <xdr:col>17</xdr:col>
                    <xdr:colOff>333375</xdr:colOff>
                    <xdr:row>44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" r:id="rId18" name="Check Box 215">
              <controlPr defaultSize="0" print="0" autoFill="0" autoLine="0" autoPict="0">
                <anchor moveWithCells="1">
                  <from>
                    <xdr:col>20</xdr:col>
                    <xdr:colOff>85725</xdr:colOff>
                    <xdr:row>42</xdr:row>
                    <xdr:rowOff>28575</xdr:rowOff>
                  </from>
                  <to>
                    <xdr:col>20</xdr:col>
                    <xdr:colOff>333375</xdr:colOff>
                    <xdr:row>42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" r:id="rId19" name="Check Box 216">
              <controlPr defaultSize="0" print="0" autoFill="0" autoLine="0" autoPict="0">
                <anchor moveWithCells="1">
                  <from>
                    <xdr:col>24</xdr:col>
                    <xdr:colOff>85725</xdr:colOff>
                    <xdr:row>44</xdr:row>
                    <xdr:rowOff>28575</xdr:rowOff>
                  </from>
                  <to>
                    <xdr:col>24</xdr:col>
                    <xdr:colOff>333375</xdr:colOff>
                    <xdr:row>44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" r:id="rId20" name="Check Box 217">
              <controlPr defaultSize="0" print="0" autoFill="0" autoLine="0" autoPict="0">
                <anchor moveWithCells="1">
                  <from>
                    <xdr:col>28</xdr:col>
                    <xdr:colOff>85725</xdr:colOff>
                    <xdr:row>42</xdr:row>
                    <xdr:rowOff>28575</xdr:rowOff>
                  </from>
                  <to>
                    <xdr:col>28</xdr:col>
                    <xdr:colOff>333375</xdr:colOff>
                    <xdr:row>42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" r:id="rId21" name="Check Box 218">
              <controlPr defaultSize="0" print="0" autoFill="0" autoLine="0" autoPict="0">
                <anchor moveWithCells="1">
                  <from>
                    <xdr:col>32</xdr:col>
                    <xdr:colOff>47625</xdr:colOff>
                    <xdr:row>42</xdr:row>
                    <xdr:rowOff>28575</xdr:rowOff>
                  </from>
                  <to>
                    <xdr:col>33</xdr:col>
                    <xdr:colOff>28575</xdr:colOff>
                    <xdr:row>42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" r:id="rId22" name="Check Box 219">
              <controlPr defaultSize="0" print="0" autoFill="0" autoLine="0" autoPict="0">
                <anchor moveWithCells="1">
                  <from>
                    <xdr:col>10</xdr:col>
                    <xdr:colOff>142875</xdr:colOff>
                    <xdr:row>49</xdr:row>
                    <xdr:rowOff>28575</xdr:rowOff>
                  </from>
                  <to>
                    <xdr:col>10</xdr:col>
                    <xdr:colOff>390525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" r:id="rId23" name="Check Box 220">
              <controlPr defaultSize="0" print="0" autoFill="0" autoLine="0" autoPict="0">
                <anchor moveWithCells="1">
                  <from>
                    <xdr:col>14</xdr:col>
                    <xdr:colOff>85725</xdr:colOff>
                    <xdr:row>49</xdr:row>
                    <xdr:rowOff>28575</xdr:rowOff>
                  </from>
                  <to>
                    <xdr:col>14</xdr:col>
                    <xdr:colOff>333375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" r:id="rId24" name="Check Box 221">
              <controlPr defaultSize="0" print="0" autoFill="0" autoLine="0" autoPict="0">
                <anchor moveWithCells="1">
                  <from>
                    <xdr:col>19</xdr:col>
                    <xdr:colOff>85725</xdr:colOff>
                    <xdr:row>49</xdr:row>
                    <xdr:rowOff>28575</xdr:rowOff>
                  </from>
                  <to>
                    <xdr:col>19</xdr:col>
                    <xdr:colOff>333375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" r:id="rId25" name="Check Box 222">
              <controlPr defaultSize="0" print="0" autoFill="0" autoLine="0" autoPict="0">
                <anchor moveWithCells="1">
                  <from>
                    <xdr:col>23</xdr:col>
                    <xdr:colOff>85725</xdr:colOff>
                    <xdr:row>49</xdr:row>
                    <xdr:rowOff>28575</xdr:rowOff>
                  </from>
                  <to>
                    <xdr:col>23</xdr:col>
                    <xdr:colOff>333375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" r:id="rId26" name="Check Box 223">
              <controlPr defaultSize="0" print="0" autoFill="0" autoLine="0" autoPict="0">
                <anchor moveWithCells="1">
                  <from>
                    <xdr:col>27</xdr:col>
                    <xdr:colOff>85725</xdr:colOff>
                    <xdr:row>49</xdr:row>
                    <xdr:rowOff>28575</xdr:rowOff>
                  </from>
                  <to>
                    <xdr:col>27</xdr:col>
                    <xdr:colOff>333375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" r:id="rId27" name="Check Box 224">
              <controlPr defaultSize="0" print="0" autoFill="0" autoLine="0" autoPict="0">
                <anchor moveWithCells="1">
                  <from>
                    <xdr:col>30</xdr:col>
                    <xdr:colOff>85725</xdr:colOff>
                    <xdr:row>49</xdr:row>
                    <xdr:rowOff>28575</xdr:rowOff>
                  </from>
                  <to>
                    <xdr:col>30</xdr:col>
                    <xdr:colOff>333375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" r:id="rId28" name="Check Box 225">
              <controlPr defaultSize="0" print="0" autoFill="0" autoLine="0" autoPict="0">
                <anchor moveWithCells="1">
                  <from>
                    <xdr:col>34</xdr:col>
                    <xdr:colOff>85725</xdr:colOff>
                    <xdr:row>49</xdr:row>
                    <xdr:rowOff>28575</xdr:rowOff>
                  </from>
                  <to>
                    <xdr:col>34</xdr:col>
                    <xdr:colOff>333375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8" r:id="rId29" name="Check Box 226">
              <controlPr defaultSize="0" print="0" autoFill="0" autoLine="0" autoPict="0">
                <anchor moveWithCells="1">
                  <from>
                    <xdr:col>5</xdr:col>
                    <xdr:colOff>85725</xdr:colOff>
                    <xdr:row>50</xdr:row>
                    <xdr:rowOff>28575</xdr:rowOff>
                  </from>
                  <to>
                    <xdr:col>5</xdr:col>
                    <xdr:colOff>333375</xdr:colOff>
                    <xdr:row>50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9" r:id="rId30" name="Check Box 227">
              <controlPr defaultSize="0" print="0" autoFill="0" autoLine="0" autoPict="0">
                <anchor moveWithCells="1">
                  <from>
                    <xdr:col>11</xdr:col>
                    <xdr:colOff>85725</xdr:colOff>
                    <xdr:row>54</xdr:row>
                    <xdr:rowOff>28575</xdr:rowOff>
                  </from>
                  <to>
                    <xdr:col>11</xdr:col>
                    <xdr:colOff>333375</xdr:colOff>
                    <xdr:row>54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0" r:id="rId31" name="Check Box 228">
              <controlPr defaultSize="0" print="0" autoFill="0" autoLine="0" autoPict="0">
                <anchor moveWithCells="1">
                  <from>
                    <xdr:col>18</xdr:col>
                    <xdr:colOff>85725</xdr:colOff>
                    <xdr:row>54</xdr:row>
                    <xdr:rowOff>28575</xdr:rowOff>
                  </from>
                  <to>
                    <xdr:col>18</xdr:col>
                    <xdr:colOff>333375</xdr:colOff>
                    <xdr:row>54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1" r:id="rId32" name="Check Box 229">
              <controlPr defaultSize="0" print="0" autoFill="0" autoLine="0" autoPict="0">
                <anchor moveWithCells="1">
                  <from>
                    <xdr:col>13</xdr:col>
                    <xdr:colOff>85725</xdr:colOff>
                    <xdr:row>55</xdr:row>
                    <xdr:rowOff>28575</xdr:rowOff>
                  </from>
                  <to>
                    <xdr:col>13</xdr:col>
                    <xdr:colOff>333375</xdr:colOff>
                    <xdr:row>55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2" r:id="rId33" name="Check Box 230">
              <controlPr defaultSize="0" print="0" autoFill="0" autoLine="0" autoPict="0">
                <anchor moveWithCells="1">
                  <from>
                    <xdr:col>25</xdr:col>
                    <xdr:colOff>85725</xdr:colOff>
                    <xdr:row>54</xdr:row>
                    <xdr:rowOff>28575</xdr:rowOff>
                  </from>
                  <to>
                    <xdr:col>25</xdr:col>
                    <xdr:colOff>333375</xdr:colOff>
                    <xdr:row>54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3" r:id="rId34" name="Check Box 231">
              <controlPr defaultSize="0" print="0" autoFill="0" autoLine="0" autoPict="0">
                <anchor moveWithCells="1">
                  <from>
                    <xdr:col>20</xdr:col>
                    <xdr:colOff>85725</xdr:colOff>
                    <xdr:row>55</xdr:row>
                    <xdr:rowOff>28575</xdr:rowOff>
                  </from>
                  <to>
                    <xdr:col>20</xdr:col>
                    <xdr:colOff>333375</xdr:colOff>
                    <xdr:row>55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4" r:id="rId35" name="Check Box 232">
              <controlPr defaultSize="0" print="0" autoFill="0" autoLine="0" autoPict="0">
                <anchor moveWithCells="1">
                  <from>
                    <xdr:col>27</xdr:col>
                    <xdr:colOff>85725</xdr:colOff>
                    <xdr:row>55</xdr:row>
                    <xdr:rowOff>28575</xdr:rowOff>
                  </from>
                  <to>
                    <xdr:col>27</xdr:col>
                    <xdr:colOff>333375</xdr:colOff>
                    <xdr:row>55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5" r:id="rId36" name="Check Box 233">
              <controlPr defaultSize="0" print="0" autoFill="0" autoLine="0" autoPict="0">
                <anchor moveWithCells="1">
                  <from>
                    <xdr:col>33</xdr:col>
                    <xdr:colOff>85725</xdr:colOff>
                    <xdr:row>57</xdr:row>
                    <xdr:rowOff>28575</xdr:rowOff>
                  </from>
                  <to>
                    <xdr:col>33</xdr:col>
                    <xdr:colOff>333375</xdr:colOff>
                    <xdr:row>57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6" r:id="rId37" name="Check Box 234">
              <controlPr defaultSize="0" print="0" autoFill="0" autoLine="0" autoPict="0">
                <anchor moveWithCells="1">
                  <from>
                    <xdr:col>26</xdr:col>
                    <xdr:colOff>85725</xdr:colOff>
                    <xdr:row>57</xdr:row>
                    <xdr:rowOff>28575</xdr:rowOff>
                  </from>
                  <to>
                    <xdr:col>26</xdr:col>
                    <xdr:colOff>333375</xdr:colOff>
                    <xdr:row>57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7" r:id="rId38" name="Check Box 235">
              <controlPr defaultSize="0" print="0" autoFill="0" autoLine="0" autoPict="0">
                <anchor moveWithCells="1">
                  <from>
                    <xdr:col>19</xdr:col>
                    <xdr:colOff>85725</xdr:colOff>
                    <xdr:row>57</xdr:row>
                    <xdr:rowOff>28575</xdr:rowOff>
                  </from>
                  <to>
                    <xdr:col>19</xdr:col>
                    <xdr:colOff>333375</xdr:colOff>
                    <xdr:row>57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8" r:id="rId39" name="Check Box 236">
              <controlPr defaultSize="0" print="0" autoFill="0" autoLine="0" autoPict="0">
                <anchor moveWithCells="1">
                  <from>
                    <xdr:col>13</xdr:col>
                    <xdr:colOff>85725</xdr:colOff>
                    <xdr:row>59</xdr:row>
                    <xdr:rowOff>28575</xdr:rowOff>
                  </from>
                  <to>
                    <xdr:col>13</xdr:col>
                    <xdr:colOff>333375</xdr:colOff>
                    <xdr:row>59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4" r:id="rId40" name="Check Box 242">
              <controlPr defaultSize="0" print="0" autoFill="0" autoLine="0" autoPict="0">
                <anchor moveWithCells="1">
                  <from>
                    <xdr:col>20</xdr:col>
                    <xdr:colOff>85725</xdr:colOff>
                    <xdr:row>59</xdr:row>
                    <xdr:rowOff>28575</xdr:rowOff>
                  </from>
                  <to>
                    <xdr:col>20</xdr:col>
                    <xdr:colOff>333375</xdr:colOff>
                    <xdr:row>59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9" r:id="rId41" name="Check Box 247">
              <controlPr defaultSize="0" print="0" autoFill="0" autoLine="0" autoPict="0">
                <anchor moveWithCells="1">
                  <from>
                    <xdr:col>27</xdr:col>
                    <xdr:colOff>85725</xdr:colOff>
                    <xdr:row>59</xdr:row>
                    <xdr:rowOff>28575</xdr:rowOff>
                  </from>
                  <to>
                    <xdr:col>27</xdr:col>
                    <xdr:colOff>333375</xdr:colOff>
                    <xdr:row>59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9" r:id="rId42" name="Check Box 237">
              <controlPr defaultSize="0" print="0" autoFill="0" autoLine="0" autoPict="0">
                <anchor moveWithCells="1">
                  <from>
                    <xdr:col>11</xdr:col>
                    <xdr:colOff>142875</xdr:colOff>
                    <xdr:row>60</xdr:row>
                    <xdr:rowOff>28575</xdr:rowOff>
                  </from>
                  <to>
                    <xdr:col>11</xdr:col>
                    <xdr:colOff>381000</xdr:colOff>
                    <xdr:row>60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1" r:id="rId43" name="Check Box 239">
              <controlPr defaultSize="0" print="0" autoFill="0" autoLine="0" autoPict="0">
                <anchor moveWithCells="1">
                  <from>
                    <xdr:col>16</xdr:col>
                    <xdr:colOff>85725</xdr:colOff>
                    <xdr:row>61</xdr:row>
                    <xdr:rowOff>28575</xdr:rowOff>
                  </from>
                  <to>
                    <xdr:col>16</xdr:col>
                    <xdr:colOff>333375</xdr:colOff>
                    <xdr:row>61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3" r:id="rId44" name="Check Box 241">
              <controlPr defaultSize="0" print="0" autoFill="0" autoLine="0" autoPict="0">
                <anchor moveWithCells="1">
                  <from>
                    <xdr:col>18</xdr:col>
                    <xdr:colOff>85725</xdr:colOff>
                    <xdr:row>60</xdr:row>
                    <xdr:rowOff>28575</xdr:rowOff>
                  </from>
                  <to>
                    <xdr:col>18</xdr:col>
                    <xdr:colOff>333375</xdr:colOff>
                    <xdr:row>60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6" r:id="rId45" name="Check Box 244">
              <controlPr defaultSize="0" print="0" autoFill="0" autoLine="0" autoPict="0">
                <anchor moveWithCells="1">
                  <from>
                    <xdr:col>23</xdr:col>
                    <xdr:colOff>85725</xdr:colOff>
                    <xdr:row>61</xdr:row>
                    <xdr:rowOff>28575</xdr:rowOff>
                  </from>
                  <to>
                    <xdr:col>23</xdr:col>
                    <xdr:colOff>333375</xdr:colOff>
                    <xdr:row>61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8" r:id="rId46" name="Check Box 246">
              <controlPr defaultSize="0" print="0" autoFill="0" autoLine="0" autoPict="0">
                <anchor moveWithCells="1">
                  <from>
                    <xdr:col>25</xdr:col>
                    <xdr:colOff>85725</xdr:colOff>
                    <xdr:row>60</xdr:row>
                    <xdr:rowOff>28575</xdr:rowOff>
                  </from>
                  <to>
                    <xdr:col>25</xdr:col>
                    <xdr:colOff>333375</xdr:colOff>
                    <xdr:row>60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1" r:id="rId47" name="Check Box 249">
              <controlPr defaultSize="0" print="0" autoFill="0" autoLine="0" autoPict="0">
                <anchor moveWithCells="1">
                  <from>
                    <xdr:col>30</xdr:col>
                    <xdr:colOff>85725</xdr:colOff>
                    <xdr:row>61</xdr:row>
                    <xdr:rowOff>28575</xdr:rowOff>
                  </from>
                  <to>
                    <xdr:col>30</xdr:col>
                    <xdr:colOff>333375</xdr:colOff>
                    <xdr:row>61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58882-8082-42B0-B648-79ABECF4BF2F}">
  <sheetPr codeName="Sheet7">
    <tabColor rgb="FFFFFF00"/>
    <pageSetUpPr fitToPage="1"/>
  </sheetPr>
  <dimension ref="A1:AQ83"/>
  <sheetViews>
    <sheetView showGridLines="0" topLeftCell="A10" zoomScale="70" zoomScaleNormal="70" workbookViewId="0">
      <selection activeCell="Q17" sqref="Q17:S17"/>
    </sheetView>
  </sheetViews>
  <sheetFormatPr defaultColWidth="12" defaultRowHeight="33" x14ac:dyDescent="0.45"/>
  <cols>
    <col min="1" max="1" width="3.42578125" style="44" customWidth="1"/>
    <col min="2" max="2" width="5.85546875" style="66" customWidth="1"/>
    <col min="3" max="3" width="5" style="44" customWidth="1"/>
    <col min="4" max="11" width="5.42578125" style="44" customWidth="1"/>
    <col min="12" max="12" width="7.85546875" style="44" customWidth="1"/>
    <col min="13" max="18" width="5.140625" style="44" customWidth="1"/>
    <col min="19" max="19" width="5.85546875" style="44" customWidth="1"/>
    <col min="20" max="31" width="5.140625" style="44" customWidth="1"/>
    <col min="32" max="32" width="5" style="44" customWidth="1"/>
    <col min="33" max="33" width="4" style="44" customWidth="1"/>
    <col min="34" max="37" width="5.140625" style="44" customWidth="1"/>
    <col min="38" max="43" width="6.140625" style="44" customWidth="1"/>
    <col min="44" max="16384" width="12" style="44"/>
  </cols>
  <sheetData>
    <row r="1" spans="2:42" ht="19.350000000000001" customHeight="1" x14ac:dyDescent="0.45"/>
    <row r="2" spans="2:42" ht="49.5" x14ac:dyDescent="0.65">
      <c r="B2" s="272" t="s">
        <v>188</v>
      </c>
      <c r="C2" s="272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72"/>
      <c r="P2" s="272"/>
      <c r="Q2" s="272"/>
      <c r="R2" s="272"/>
      <c r="S2" s="272"/>
      <c r="T2" s="272"/>
      <c r="U2" s="272"/>
      <c r="V2" s="272"/>
      <c r="W2" s="272"/>
      <c r="X2" s="272"/>
      <c r="Y2" s="272"/>
      <c r="Z2" s="272"/>
      <c r="AA2" s="272"/>
      <c r="AB2" s="272"/>
      <c r="AC2" s="272"/>
      <c r="AD2" s="272"/>
      <c r="AE2" s="272"/>
      <c r="AF2" s="272"/>
      <c r="AG2" s="272"/>
      <c r="AH2" s="272"/>
      <c r="AI2" s="272"/>
      <c r="AJ2" s="272"/>
      <c r="AK2" s="272"/>
    </row>
    <row r="3" spans="2:42" ht="32.450000000000003" customHeight="1" x14ac:dyDescent="0.45"/>
    <row r="4" spans="2:42" s="49" customFormat="1" ht="22.35" customHeight="1" x14ac:dyDescent="0.4">
      <c r="B4" s="55"/>
      <c r="C4" s="44"/>
      <c r="D4" s="53" t="s">
        <v>284</v>
      </c>
      <c r="E4" s="72"/>
      <c r="F4" s="63" t="s">
        <v>346</v>
      </c>
      <c r="G4" s="72"/>
      <c r="H4" s="72"/>
      <c r="I4" s="72"/>
      <c r="J4" s="72"/>
      <c r="M4" s="121" t="str">
        <f>IF(CONTROLS!$H$2=TRUE,"P","")</f>
        <v/>
      </c>
      <c r="N4" s="63" t="s">
        <v>333</v>
      </c>
      <c r="O4" s="72"/>
      <c r="P4" s="44"/>
      <c r="Q4" s="44"/>
      <c r="R4" s="44"/>
      <c r="T4" s="121" t="str">
        <f>IF(CONTROLS!$H$3=TRUE,"P","")</f>
        <v/>
      </c>
      <c r="U4" s="63" t="s">
        <v>334</v>
      </c>
      <c r="V4" s="44"/>
      <c r="W4" s="44"/>
      <c r="X4" s="44"/>
      <c r="Y4" s="44"/>
      <c r="AA4" s="121" t="str">
        <f>IF(CONTROLS!$H$4=TRUE,"P","")</f>
        <v/>
      </c>
      <c r="AB4" s="63" t="s">
        <v>342</v>
      </c>
      <c r="AC4" s="44"/>
      <c r="AD4" s="44"/>
      <c r="AE4" s="44"/>
      <c r="AF4" s="44"/>
      <c r="AO4" s="44"/>
      <c r="AP4" s="44"/>
    </row>
    <row r="5" spans="2:42" s="49" customFormat="1" ht="22.35" customHeight="1" x14ac:dyDescent="0.4">
      <c r="B5" s="55"/>
      <c r="C5" s="44"/>
      <c r="D5" s="53" t="s">
        <v>284</v>
      </c>
      <c r="E5" s="72"/>
      <c r="F5" s="63" t="s">
        <v>347</v>
      </c>
      <c r="G5" s="72"/>
      <c r="H5" s="72"/>
      <c r="I5" s="72"/>
      <c r="J5" s="72"/>
      <c r="O5" s="121" t="str">
        <f>IF(CONTROLS!$H$5=TRUE,"P","")</f>
        <v/>
      </c>
      <c r="P5" s="63" t="s">
        <v>333</v>
      </c>
      <c r="Q5" s="72"/>
      <c r="R5" s="44"/>
      <c r="S5" s="44"/>
      <c r="T5" s="44"/>
      <c r="V5" s="121" t="str">
        <f>IF(CONTROLS!$H$6=TRUE,"P","")</f>
        <v/>
      </c>
      <c r="W5" s="63" t="s">
        <v>334</v>
      </c>
      <c r="X5" s="44"/>
      <c r="Y5" s="44"/>
      <c r="Z5" s="44"/>
      <c r="AA5" s="44"/>
      <c r="AC5" s="121" t="str">
        <f>IF(CONTROLS!$H$7=TRUE,"P","")</f>
        <v/>
      </c>
      <c r="AD5" s="63" t="s">
        <v>342</v>
      </c>
      <c r="AE5" s="44"/>
      <c r="AF5" s="44"/>
      <c r="AG5" s="44"/>
      <c r="AH5" s="44"/>
    </row>
    <row r="6" spans="2:42" s="52" customFormat="1" ht="21.6" customHeight="1" x14ac:dyDescent="0.25">
      <c r="B6" s="67"/>
      <c r="K6" s="28"/>
      <c r="L6" s="63"/>
      <c r="P6" s="28"/>
      <c r="Q6" s="63"/>
    </row>
    <row r="7" spans="2:42" x14ac:dyDescent="0.35">
      <c r="B7" s="71" t="s">
        <v>348</v>
      </c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63"/>
      <c r="P7" s="63"/>
      <c r="Q7" s="63"/>
      <c r="R7" s="63"/>
      <c r="S7" s="63"/>
      <c r="U7" s="72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70"/>
      <c r="AI7" s="70"/>
      <c r="AJ7" s="70"/>
      <c r="AK7" s="70"/>
    </row>
    <row r="8" spans="2:42" ht="21" customHeight="1" x14ac:dyDescent="0.35">
      <c r="B8" s="67" t="s">
        <v>349</v>
      </c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63"/>
      <c r="P8" s="63"/>
      <c r="Q8" s="63"/>
      <c r="R8" s="63"/>
      <c r="S8" s="63"/>
      <c r="U8" s="72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70"/>
      <c r="AI8" s="70"/>
      <c r="AJ8" s="70"/>
      <c r="AK8" s="70"/>
    </row>
    <row r="9" spans="2:42" s="46" customFormat="1" ht="21.6" customHeight="1" x14ac:dyDescent="0.35">
      <c r="B9" s="69"/>
      <c r="C9" s="121" t="str">
        <f>IF(CONTROLS!$H$8=TRUE,"P","")</f>
        <v/>
      </c>
      <c r="D9" s="63" t="s">
        <v>350</v>
      </c>
      <c r="E9" s="72"/>
      <c r="F9" s="121" t="str">
        <f>IF(CONTROLS!$H$9=TRUE,"P","")</f>
        <v/>
      </c>
      <c r="G9" s="63" t="s">
        <v>351</v>
      </c>
      <c r="H9" s="44"/>
      <c r="I9" s="49"/>
      <c r="L9" s="121" t="str">
        <f>IF(CONTROLS!$H$10=TRUE,"P","")</f>
        <v/>
      </c>
      <c r="M9" s="63" t="s">
        <v>352</v>
      </c>
      <c r="N9" s="44"/>
      <c r="O9" s="44"/>
      <c r="P9" s="49"/>
      <c r="T9" s="44"/>
      <c r="U9" s="44"/>
      <c r="V9" s="44"/>
      <c r="W9" s="49"/>
      <c r="X9" s="49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</row>
    <row r="10" spans="2:42" ht="21.6" customHeight="1" x14ac:dyDescent="0.35">
      <c r="B10" s="71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63"/>
      <c r="P10" s="63"/>
      <c r="Q10" s="63"/>
      <c r="R10" s="63"/>
      <c r="S10" s="63"/>
      <c r="U10" s="72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70"/>
      <c r="AI10" s="70"/>
      <c r="AJ10" s="70"/>
      <c r="AK10" s="70"/>
    </row>
    <row r="11" spans="2:42" ht="21" customHeight="1" x14ac:dyDescent="0.35">
      <c r="B11" s="76" t="s">
        <v>353</v>
      </c>
      <c r="D11" s="72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63"/>
      <c r="P11" s="63"/>
      <c r="Q11" s="63"/>
      <c r="R11" s="63"/>
      <c r="S11" s="63"/>
      <c r="U11" s="72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70"/>
      <c r="AI11" s="70"/>
      <c r="AJ11" s="70"/>
      <c r="AK11" s="70"/>
    </row>
    <row r="12" spans="2:42" ht="21" customHeight="1" x14ac:dyDescent="0.35">
      <c r="B12" s="67"/>
      <c r="C12" s="63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63"/>
      <c r="P12" s="63"/>
      <c r="Q12" s="63"/>
      <c r="R12" s="63"/>
      <c r="S12" s="63"/>
      <c r="U12" s="72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70"/>
      <c r="AI12" s="70"/>
      <c r="AJ12" s="70"/>
      <c r="AK12" s="70"/>
    </row>
    <row r="13" spans="2:42" ht="22.7" customHeight="1" x14ac:dyDescent="0.4">
      <c r="B13" s="55"/>
      <c r="D13" s="53" t="s">
        <v>284</v>
      </c>
      <c r="E13" s="72"/>
      <c r="F13" s="63" t="s">
        <v>354</v>
      </c>
      <c r="G13" s="72"/>
      <c r="H13" s="72"/>
      <c r="I13" s="72"/>
      <c r="J13" s="72"/>
      <c r="K13" s="72"/>
      <c r="L13" s="72"/>
      <c r="M13" s="72"/>
      <c r="N13" s="72"/>
      <c r="O13" s="63"/>
      <c r="P13" s="63"/>
      <c r="Q13" s="63"/>
      <c r="R13" s="63"/>
      <c r="S13" s="63"/>
      <c r="U13" s="72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70"/>
      <c r="AI13" s="70"/>
      <c r="AJ13" s="70"/>
      <c r="AK13" s="70"/>
    </row>
    <row r="14" spans="2:42" ht="22.7" customHeight="1" x14ac:dyDescent="0.4">
      <c r="B14" s="55"/>
      <c r="D14" s="53" t="s">
        <v>284</v>
      </c>
      <c r="E14" s="72"/>
      <c r="F14" s="72" t="s">
        <v>355</v>
      </c>
      <c r="G14" s="72"/>
      <c r="H14" s="72"/>
      <c r="I14" s="72"/>
      <c r="J14" s="72"/>
      <c r="K14" s="72"/>
      <c r="L14" s="72"/>
      <c r="M14" s="72"/>
      <c r="N14" s="72"/>
      <c r="O14" s="63"/>
      <c r="P14" s="63"/>
      <c r="Q14" s="63"/>
      <c r="R14" s="63"/>
      <c r="S14" s="63"/>
      <c r="U14" s="72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70"/>
      <c r="AI14" s="70"/>
      <c r="AJ14" s="70"/>
      <c r="AK14" s="70"/>
    </row>
    <row r="15" spans="2:42" ht="22.7" customHeight="1" x14ac:dyDescent="0.4">
      <c r="B15" s="55"/>
      <c r="D15" s="53" t="s">
        <v>284</v>
      </c>
      <c r="E15" s="72"/>
      <c r="F15" s="72" t="s">
        <v>356</v>
      </c>
      <c r="G15" s="72"/>
      <c r="H15" s="72"/>
      <c r="I15" s="72"/>
      <c r="J15" s="72"/>
      <c r="K15" s="72"/>
      <c r="L15" s="72"/>
      <c r="M15" s="72"/>
      <c r="N15" s="72"/>
      <c r="O15" s="63"/>
      <c r="P15" s="63"/>
      <c r="Q15" s="63"/>
      <c r="R15" s="63"/>
      <c r="S15" s="63"/>
      <c r="U15" s="72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70"/>
      <c r="AI15" s="70"/>
      <c r="AJ15" s="70"/>
      <c r="AK15" s="70"/>
    </row>
    <row r="16" spans="2:42" ht="21.6" customHeight="1" x14ac:dyDescent="0.4">
      <c r="B16" s="55"/>
      <c r="C16" s="53"/>
      <c r="D16" s="53" t="s">
        <v>284</v>
      </c>
      <c r="E16" s="72"/>
      <c r="F16" s="72" t="s">
        <v>357</v>
      </c>
      <c r="G16" s="72"/>
      <c r="H16" s="72"/>
      <c r="I16" s="72"/>
      <c r="J16" s="72"/>
      <c r="K16" s="72"/>
      <c r="L16" s="72"/>
      <c r="M16" s="72"/>
      <c r="N16" s="72"/>
      <c r="O16" s="63"/>
      <c r="P16" s="63"/>
      <c r="Q16" s="63"/>
      <c r="R16" s="63"/>
      <c r="S16" s="63"/>
      <c r="U16" s="72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70"/>
      <c r="AI16" s="70"/>
      <c r="AJ16" s="70"/>
      <c r="AK16" s="70"/>
    </row>
    <row r="17" spans="1:37" ht="21.6" hidden="1" customHeight="1" x14ac:dyDescent="0.4">
      <c r="B17" s="55"/>
      <c r="C17" s="72"/>
      <c r="D17" s="53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63"/>
      <c r="P17" s="63"/>
      <c r="Q17" s="63"/>
      <c r="R17" s="63"/>
      <c r="S17" s="63"/>
      <c r="U17" s="72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70"/>
      <c r="AI17" s="70"/>
      <c r="AJ17" s="70"/>
      <c r="AK17" s="70"/>
    </row>
    <row r="18" spans="1:37" ht="21.6" customHeight="1" x14ac:dyDescent="0.4">
      <c r="B18" s="55"/>
      <c r="C18" s="53"/>
      <c r="D18" s="53" t="s">
        <v>284</v>
      </c>
      <c r="E18" s="72"/>
      <c r="F18" s="72" t="s">
        <v>358</v>
      </c>
      <c r="G18" s="72"/>
      <c r="H18" s="72"/>
      <c r="I18" s="72"/>
      <c r="J18" s="72"/>
      <c r="K18" s="72"/>
      <c r="L18" s="72"/>
      <c r="M18" s="72"/>
      <c r="N18" s="72"/>
      <c r="O18" s="63"/>
      <c r="P18" s="63"/>
      <c r="Q18" s="63"/>
      <c r="R18" s="63"/>
      <c r="S18" s="63"/>
      <c r="U18" s="72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70"/>
      <c r="AI18" s="70"/>
      <c r="AJ18" s="70"/>
      <c r="AK18" s="70"/>
    </row>
    <row r="19" spans="1:37" ht="21.6" customHeight="1" x14ac:dyDescent="0.4">
      <c r="B19" s="55"/>
      <c r="C19" s="53"/>
      <c r="D19" s="53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63"/>
      <c r="P19" s="63"/>
      <c r="Q19" s="63"/>
      <c r="R19" s="99"/>
      <c r="S19" s="99"/>
      <c r="T19" s="100"/>
      <c r="U19" s="99"/>
      <c r="V19" s="99"/>
      <c r="W19" s="99"/>
      <c r="X19" s="99"/>
      <c r="Y19" s="63"/>
      <c r="Z19" s="63"/>
      <c r="AA19" s="63"/>
      <c r="AB19" s="63"/>
      <c r="AC19" s="63"/>
      <c r="AD19" s="63"/>
      <c r="AE19" s="63"/>
      <c r="AF19" s="63"/>
      <c r="AG19" s="63"/>
      <c r="AH19" s="70"/>
      <c r="AI19" s="70"/>
      <c r="AJ19" s="70"/>
      <c r="AK19" s="70"/>
    </row>
    <row r="20" spans="1:37" ht="21.6" hidden="1" customHeight="1" x14ac:dyDescent="0.4">
      <c r="B20" s="55"/>
      <c r="C20" s="53"/>
      <c r="D20" s="53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63"/>
      <c r="P20" s="63"/>
      <c r="Q20" s="63"/>
      <c r="R20" s="99"/>
      <c r="S20" s="99"/>
      <c r="T20" s="100"/>
      <c r="U20" s="99"/>
      <c r="V20" s="99"/>
      <c r="W20" s="99"/>
      <c r="X20" s="99"/>
      <c r="Y20" s="63"/>
      <c r="Z20" s="63"/>
      <c r="AA20" s="63"/>
      <c r="AB20" s="63"/>
      <c r="AC20" s="63"/>
      <c r="AD20" s="63"/>
      <c r="AE20" s="63"/>
      <c r="AF20" s="63"/>
      <c r="AG20" s="63"/>
      <c r="AH20" s="70"/>
      <c r="AI20" s="70"/>
      <c r="AJ20" s="70"/>
      <c r="AK20" s="70"/>
    </row>
    <row r="21" spans="1:37" ht="21.6" hidden="1" customHeight="1" x14ac:dyDescent="0.4">
      <c r="B21" s="55"/>
      <c r="D21" s="73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7"/>
      <c r="S21" s="77"/>
      <c r="T21" s="77"/>
      <c r="U21" s="77"/>
      <c r="V21" s="102"/>
      <c r="W21" s="102"/>
      <c r="X21" s="102"/>
      <c r="Y21" s="77"/>
      <c r="Z21" s="77"/>
      <c r="AA21" s="77"/>
      <c r="AB21" s="77"/>
      <c r="AC21" s="77"/>
      <c r="AD21" s="77"/>
      <c r="AE21" s="77"/>
      <c r="AF21" s="77"/>
      <c r="AG21" s="77"/>
      <c r="AH21" s="77"/>
      <c r="AI21" s="77"/>
      <c r="AJ21" s="77"/>
      <c r="AK21" s="77"/>
    </row>
    <row r="22" spans="1:37" ht="21.6" customHeight="1" x14ac:dyDescent="0.4">
      <c r="B22" s="55"/>
      <c r="D22" s="73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102"/>
      <c r="R22" s="102"/>
      <c r="S22" s="102"/>
      <c r="T22" s="102"/>
      <c r="U22" s="102"/>
      <c r="V22" s="102"/>
      <c r="W22" s="102"/>
      <c r="X22" s="102"/>
      <c r="Y22" s="77"/>
      <c r="Z22" s="77"/>
      <c r="AA22" s="77"/>
      <c r="AB22" s="77"/>
      <c r="AC22" s="77"/>
      <c r="AD22" s="77"/>
      <c r="AE22" s="77"/>
      <c r="AF22" s="77"/>
      <c r="AG22" s="77"/>
      <c r="AH22" s="77"/>
      <c r="AI22" s="77"/>
      <c r="AJ22" s="77"/>
      <c r="AK22" s="77"/>
    </row>
    <row r="23" spans="1:37" ht="21.6" customHeight="1" x14ac:dyDescent="0.4">
      <c r="B23" s="55"/>
      <c r="C23" s="121" t="str">
        <f>IF(CONTROLS!$H$11=TRUE,"P","")</f>
        <v/>
      </c>
      <c r="D23" s="63" t="s">
        <v>269</v>
      </c>
      <c r="E23" s="78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121" t="str">
        <f>IF(CONTROLS!$H$12=TRUE,"P","")</f>
        <v/>
      </c>
      <c r="S23" s="268" t="s">
        <v>359</v>
      </c>
      <c r="T23" s="268"/>
      <c r="U23" s="268"/>
      <c r="V23" s="268"/>
      <c r="W23" s="268"/>
      <c r="X23" s="268"/>
      <c r="Y23" s="268"/>
      <c r="Z23" s="268"/>
      <c r="AA23" s="268"/>
      <c r="AB23" s="268"/>
      <c r="AC23" s="268"/>
      <c r="AD23" s="310"/>
      <c r="AE23" s="310"/>
      <c r="AF23" s="310"/>
      <c r="AG23" s="310"/>
      <c r="AH23" s="310"/>
      <c r="AI23" s="310"/>
      <c r="AJ23" s="310"/>
      <c r="AK23" s="310"/>
    </row>
    <row r="24" spans="1:37" ht="21.6" customHeight="1" x14ac:dyDescent="0.35">
      <c r="B24" s="67"/>
      <c r="D24" s="72"/>
      <c r="E24" s="78"/>
      <c r="F24" s="72"/>
      <c r="G24" s="72"/>
      <c r="H24" s="72"/>
      <c r="I24" s="72"/>
      <c r="J24" s="72"/>
      <c r="K24" s="72"/>
      <c r="L24" s="72"/>
      <c r="M24" s="72"/>
      <c r="N24" s="72"/>
      <c r="O24" s="63"/>
      <c r="P24" s="63"/>
      <c r="Q24" s="63"/>
      <c r="R24" s="63"/>
      <c r="S24" s="63"/>
      <c r="U24" s="72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70"/>
      <c r="AI24" s="70"/>
      <c r="AJ24" s="70"/>
      <c r="AK24" s="70"/>
    </row>
    <row r="25" spans="1:37" ht="24" customHeight="1" x14ac:dyDescent="0.4">
      <c r="B25" s="55"/>
      <c r="C25" s="307" t="s">
        <v>360</v>
      </c>
      <c r="D25" s="307"/>
      <c r="E25" s="307"/>
      <c r="F25" s="307"/>
      <c r="G25" s="307"/>
      <c r="H25" s="307"/>
      <c r="I25" s="307"/>
      <c r="J25" s="307"/>
      <c r="K25" s="307"/>
      <c r="L25" s="307"/>
      <c r="M25" s="307"/>
      <c r="N25" s="307"/>
      <c r="O25" s="307"/>
      <c r="P25" s="307"/>
      <c r="Q25" s="307"/>
      <c r="R25" s="307"/>
      <c r="S25" s="307"/>
      <c r="T25" s="307"/>
      <c r="U25" s="307"/>
      <c r="V25" s="307" t="s">
        <v>361</v>
      </c>
      <c r="W25" s="307"/>
      <c r="X25" s="307"/>
      <c r="Y25" s="307"/>
      <c r="Z25" s="307"/>
      <c r="AA25" s="307"/>
      <c r="AB25" s="307"/>
      <c r="AC25" s="307"/>
      <c r="AD25" s="307"/>
      <c r="AE25" s="307"/>
      <c r="AF25" s="307"/>
      <c r="AG25" s="307"/>
      <c r="AH25" s="307"/>
      <c r="AI25" s="307"/>
      <c r="AJ25" s="307"/>
      <c r="AK25" s="307"/>
    </row>
    <row r="26" spans="1:37" ht="31.7" customHeight="1" x14ac:dyDescent="0.4">
      <c r="B26" s="55"/>
      <c r="C26" s="308"/>
      <c r="D26" s="308"/>
      <c r="E26" s="308"/>
      <c r="F26" s="308"/>
      <c r="G26" s="308"/>
      <c r="H26" s="308"/>
      <c r="I26" s="308"/>
      <c r="J26" s="308"/>
      <c r="K26" s="308"/>
      <c r="L26" s="308"/>
      <c r="M26" s="308"/>
      <c r="N26" s="308"/>
      <c r="O26" s="308"/>
      <c r="P26" s="308"/>
      <c r="Q26" s="308"/>
      <c r="R26" s="308"/>
      <c r="S26" s="308"/>
      <c r="T26" s="308"/>
      <c r="U26" s="308"/>
      <c r="V26" s="309"/>
      <c r="W26" s="309"/>
      <c r="X26" s="309"/>
      <c r="Y26" s="309"/>
      <c r="Z26" s="309"/>
      <c r="AA26" s="309"/>
      <c r="AB26" s="309"/>
      <c r="AC26" s="309"/>
      <c r="AD26" s="309"/>
      <c r="AE26" s="309"/>
      <c r="AF26" s="309"/>
      <c r="AG26" s="309"/>
      <c r="AH26" s="309"/>
      <c r="AI26" s="309"/>
      <c r="AJ26" s="309"/>
      <c r="AK26" s="309"/>
    </row>
    <row r="27" spans="1:37" ht="9" customHeight="1" x14ac:dyDescent="0.4">
      <c r="B27" s="55"/>
      <c r="D27" s="73"/>
      <c r="E27" s="75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  <c r="AH27" s="77"/>
      <c r="AI27" s="77"/>
      <c r="AJ27" s="77"/>
      <c r="AK27" s="77"/>
    </row>
    <row r="28" spans="1:37" ht="21" customHeight="1" x14ac:dyDescent="0.35">
      <c r="B28" s="52" t="s">
        <v>362</v>
      </c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63"/>
      <c r="P28" s="63"/>
      <c r="Q28" s="63"/>
      <c r="R28" s="63"/>
      <c r="S28" s="63"/>
      <c r="U28" s="72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70"/>
      <c r="AI28" s="70"/>
      <c r="AJ28" s="70"/>
      <c r="AK28" s="70"/>
    </row>
    <row r="29" spans="1:37" ht="21.6" customHeight="1" x14ac:dyDescent="0.35">
      <c r="A29" s="109" t="str">
        <f>IF(COUNTIF(C29:I29,"P")=0,"",COUNTIF(C29:I29,"P"))</f>
        <v/>
      </c>
      <c r="B29" s="44"/>
      <c r="C29" s="121" t="str">
        <f>IF(CONTROLS!$H$13=TRUE,"P","")</f>
        <v/>
      </c>
      <c r="D29" s="63" t="s">
        <v>71</v>
      </c>
      <c r="E29" s="79"/>
      <c r="F29" s="121" t="str">
        <f>IF(CONTROLS!$H$14=TRUE,"P","")</f>
        <v/>
      </c>
      <c r="G29" s="63" t="s">
        <v>363</v>
      </c>
      <c r="H29" s="72"/>
      <c r="I29" s="72"/>
      <c r="J29" s="72"/>
      <c r="K29" s="72"/>
      <c r="L29" s="72"/>
      <c r="M29" s="72"/>
      <c r="N29" s="72"/>
      <c r="O29" s="63"/>
      <c r="P29" s="63"/>
      <c r="Q29" s="63"/>
      <c r="R29" s="63"/>
      <c r="S29" s="63"/>
      <c r="U29" s="72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70"/>
      <c r="AI29" s="70"/>
      <c r="AJ29" s="70"/>
      <c r="AK29" s="70"/>
    </row>
    <row r="30" spans="1:37" ht="21" customHeight="1" x14ac:dyDescent="0.35">
      <c r="A30" s="110"/>
      <c r="B30" s="52" t="s">
        <v>364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63"/>
      <c r="P30" s="63"/>
      <c r="Q30" s="63"/>
      <c r="R30" s="63"/>
      <c r="S30" s="63"/>
      <c r="U30" s="72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70"/>
      <c r="AI30" s="70"/>
      <c r="AJ30" s="70"/>
      <c r="AK30" s="70"/>
    </row>
    <row r="31" spans="1:37" ht="21.6" customHeight="1" x14ac:dyDescent="0.35">
      <c r="A31" s="109" t="str">
        <f>IF(COUNTIF(C31:I31,"P")=0,"",COUNTIF(C31:I31,"P"))</f>
        <v/>
      </c>
      <c r="B31" s="111">
        <f>IF(AND(IF(F31="P",1,"")=1,K31=""),"",1)</f>
        <v>1</v>
      </c>
      <c r="C31" s="121" t="str">
        <f>IF(CONTROLS!$H$15=TRUE,"P","")</f>
        <v/>
      </c>
      <c r="D31" s="63" t="s">
        <v>46</v>
      </c>
      <c r="E31" s="79"/>
      <c r="F31" s="121" t="str">
        <f>IF(CONTROLS!$H$16=TRUE,"P","")</f>
        <v/>
      </c>
      <c r="G31" s="63" t="s">
        <v>365</v>
      </c>
      <c r="H31" s="72"/>
      <c r="I31" s="72"/>
      <c r="J31" s="72"/>
      <c r="K31" s="304"/>
      <c r="L31" s="304"/>
      <c r="M31" s="304"/>
      <c r="N31" s="304"/>
      <c r="O31" s="304"/>
      <c r="P31" s="304"/>
      <c r="Q31" s="304"/>
      <c r="R31" s="304"/>
      <c r="S31" s="304"/>
      <c r="T31" s="304"/>
      <c r="U31" s="304"/>
      <c r="V31" s="304"/>
      <c r="W31" s="304"/>
      <c r="X31" s="304"/>
      <c r="Y31" s="304"/>
      <c r="Z31" s="304"/>
      <c r="AA31" s="304"/>
      <c r="AB31" s="304"/>
      <c r="AC31" s="304"/>
      <c r="AD31" s="304"/>
      <c r="AE31" s="304"/>
      <c r="AF31" s="304"/>
      <c r="AG31" s="304"/>
      <c r="AH31" s="304"/>
      <c r="AI31" s="304"/>
      <c r="AJ31" s="304"/>
      <c r="AK31" s="304"/>
    </row>
    <row r="32" spans="1:37" ht="21" customHeight="1" x14ac:dyDescent="0.35">
      <c r="A32" s="110"/>
      <c r="B32" s="52" t="s">
        <v>366</v>
      </c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63"/>
      <c r="P32" s="63"/>
      <c r="Q32" s="63"/>
      <c r="R32" s="63"/>
      <c r="S32" s="63"/>
      <c r="U32" s="72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70"/>
      <c r="AI32" s="70"/>
      <c r="AJ32" s="70"/>
      <c r="AK32" s="70"/>
    </row>
    <row r="33" spans="1:37" ht="21.6" customHeight="1" x14ac:dyDescent="0.35">
      <c r="A33" s="109" t="str">
        <f>IF(COUNTIF(C33:I33,"P")=0,"",COUNTIF(C33:I33,"P"))</f>
        <v/>
      </c>
      <c r="B33" s="111">
        <f>IF(AND(IF(F33="P",1,"")=1,T33=""),"",1)</f>
        <v>1</v>
      </c>
      <c r="C33" s="121" t="str">
        <f>IF(CONTROLS!$H$17=TRUE,"P","")</f>
        <v/>
      </c>
      <c r="D33" s="63" t="s">
        <v>49</v>
      </c>
      <c r="E33" s="79"/>
      <c r="F33" s="121" t="str">
        <f>IF(CONTROLS!$H$18=TRUE,"P","")</f>
        <v/>
      </c>
      <c r="G33" s="63" t="s">
        <v>367</v>
      </c>
      <c r="H33" s="72"/>
      <c r="I33" s="72"/>
      <c r="J33" s="72"/>
      <c r="K33" s="72"/>
      <c r="L33" s="72"/>
      <c r="M33" s="72"/>
      <c r="N33" s="72"/>
      <c r="O33" s="63"/>
      <c r="P33" s="63"/>
      <c r="Q33" s="63"/>
      <c r="R33" s="63"/>
      <c r="S33" s="63"/>
      <c r="T33" s="264"/>
      <c r="U33" s="264"/>
      <c r="V33" s="264"/>
      <c r="W33" s="264"/>
      <c r="X33" s="264"/>
      <c r="Y33" s="264"/>
      <c r="Z33" s="264"/>
      <c r="AA33" s="264"/>
      <c r="AB33" s="264"/>
      <c r="AC33" s="264"/>
      <c r="AD33" s="264"/>
      <c r="AE33" s="264"/>
      <c r="AF33" s="264"/>
      <c r="AG33" s="264"/>
      <c r="AH33" s="264"/>
      <c r="AI33" s="264"/>
      <c r="AJ33" s="264"/>
      <c r="AK33" s="264"/>
    </row>
    <row r="34" spans="1:37" ht="21" customHeight="1" x14ac:dyDescent="0.35">
      <c r="A34" s="110"/>
      <c r="B34" s="52" t="s">
        <v>368</v>
      </c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63"/>
      <c r="P34" s="63"/>
      <c r="Q34" s="63"/>
      <c r="R34" s="63"/>
      <c r="S34" s="63"/>
      <c r="U34" s="72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70"/>
      <c r="AI34" s="70"/>
      <c r="AJ34" s="70"/>
      <c r="AK34" s="70"/>
    </row>
    <row r="35" spans="1:37" ht="21.6" customHeight="1" x14ac:dyDescent="0.35">
      <c r="A35" s="109" t="str">
        <f>IF(COUNTIF(C35:I35,"P")=0,"",COUNTIF(C35:I35,"P"))</f>
        <v/>
      </c>
      <c r="B35" s="111">
        <f>IF(AND(IF(F35="P",1,"")=1,M35=""),"",1)</f>
        <v>1</v>
      </c>
      <c r="C35" s="121" t="str">
        <f>IF(CONTROLS!$H$19=TRUE,"P","")</f>
        <v/>
      </c>
      <c r="D35" s="63" t="s">
        <v>369</v>
      </c>
      <c r="E35" s="79"/>
      <c r="F35" s="121" t="str">
        <f>IF(CONTROLS!$H$20=TRUE,"P","")</f>
        <v/>
      </c>
      <c r="G35" s="63" t="s">
        <v>370</v>
      </c>
      <c r="H35" s="72"/>
      <c r="I35" s="72"/>
      <c r="J35" s="72"/>
      <c r="K35" s="72"/>
      <c r="L35" s="72"/>
      <c r="M35" s="305"/>
      <c r="N35" s="305"/>
      <c r="O35" s="305"/>
      <c r="P35" s="305"/>
      <c r="Q35" s="305"/>
      <c r="R35" s="305"/>
      <c r="S35" s="305"/>
      <c r="T35" s="305"/>
      <c r="U35" s="305"/>
      <c r="V35" s="305"/>
      <c r="W35" s="305"/>
      <c r="X35" s="305"/>
      <c r="Y35" s="305"/>
      <c r="Z35" s="305"/>
      <c r="AA35" s="305"/>
      <c r="AB35" s="305"/>
      <c r="AC35" s="305"/>
      <c r="AD35" s="305"/>
      <c r="AE35" s="305"/>
      <c r="AF35" s="305"/>
      <c r="AG35" s="305"/>
      <c r="AH35" s="305"/>
      <c r="AI35" s="305"/>
      <c r="AJ35" s="305"/>
      <c r="AK35" s="305"/>
    </row>
    <row r="36" spans="1:37" s="49" customFormat="1" ht="9" hidden="1" customHeight="1" x14ac:dyDescent="0.35">
      <c r="A36" s="108"/>
      <c r="C36" s="63"/>
      <c r="D36" s="53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63"/>
      <c r="P36" s="63"/>
      <c r="Q36" s="63"/>
    </row>
    <row r="37" spans="1:37" ht="21" customHeight="1" x14ac:dyDescent="0.35">
      <c r="A37" s="110"/>
      <c r="B37" s="52" t="s">
        <v>371</v>
      </c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63"/>
      <c r="P37" s="63"/>
      <c r="Q37" s="63"/>
      <c r="R37" s="63"/>
      <c r="S37" s="63"/>
      <c r="U37" s="72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70"/>
      <c r="AI37" s="70"/>
      <c r="AJ37" s="70"/>
      <c r="AK37" s="70"/>
    </row>
    <row r="38" spans="1:37" ht="21.6" customHeight="1" x14ac:dyDescent="0.35">
      <c r="A38" s="109" t="str">
        <f>IF(COUNTIF(C38:I38,"P")=0,"",COUNTIF(C38:I38,"P"))</f>
        <v/>
      </c>
      <c r="B38" s="111">
        <f>IF(AND(IF(F38="P",1,"")=1,M38=""),"",1)</f>
        <v>1</v>
      </c>
      <c r="C38" s="121" t="str">
        <f>IF(CONTROLS!$H$21=TRUE,"P","")</f>
        <v/>
      </c>
      <c r="D38" s="63" t="s">
        <v>46</v>
      </c>
      <c r="E38" s="79"/>
      <c r="F38" s="121" t="str">
        <f>IF(CONTROLS!$H$22=TRUE,"P","")</f>
        <v/>
      </c>
      <c r="G38" s="63" t="s">
        <v>372</v>
      </c>
      <c r="H38" s="72"/>
      <c r="I38" s="72"/>
      <c r="J38" s="72"/>
      <c r="K38" s="72"/>
      <c r="L38" s="72"/>
      <c r="M38" s="304"/>
      <c r="N38" s="304"/>
      <c r="O38" s="304"/>
      <c r="P38" s="304"/>
      <c r="Q38" s="304"/>
      <c r="R38" s="304"/>
      <c r="S38" s="304"/>
      <c r="T38" s="304"/>
      <c r="U38" s="304"/>
      <c r="V38" s="304"/>
      <c r="W38" s="304"/>
      <c r="X38" s="304"/>
      <c r="Y38" s="304"/>
      <c r="Z38" s="304"/>
      <c r="AA38" s="304"/>
      <c r="AB38" s="304"/>
      <c r="AC38" s="304"/>
      <c r="AD38" s="304"/>
      <c r="AE38" s="304"/>
      <c r="AF38" s="304"/>
      <c r="AG38" s="304"/>
      <c r="AH38" s="304"/>
      <c r="AI38" s="304"/>
      <c r="AJ38" s="304"/>
      <c r="AK38" s="304"/>
    </row>
    <row r="39" spans="1:37" s="49" customFormat="1" ht="45.6" customHeight="1" x14ac:dyDescent="0.35">
      <c r="A39" s="108"/>
      <c r="B39" s="67"/>
      <c r="C39" s="311" t="s">
        <v>373</v>
      </c>
      <c r="D39" s="311"/>
      <c r="E39" s="311"/>
      <c r="F39" s="311"/>
      <c r="G39" s="311"/>
      <c r="H39" s="311"/>
      <c r="I39" s="311"/>
      <c r="J39" s="311"/>
      <c r="K39" s="311"/>
      <c r="L39" s="311"/>
      <c r="M39" s="311"/>
      <c r="N39" s="311"/>
      <c r="O39" s="311"/>
      <c r="P39" s="311"/>
      <c r="Q39" s="311"/>
    </row>
    <row r="40" spans="1:37" ht="21" customHeight="1" x14ac:dyDescent="0.35">
      <c r="A40" s="110"/>
      <c r="B40" s="52" t="s">
        <v>374</v>
      </c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63"/>
      <c r="P40" s="63"/>
      <c r="Q40" s="63"/>
      <c r="R40" s="63"/>
      <c r="S40" s="63"/>
      <c r="U40" s="72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70"/>
      <c r="AI40" s="70"/>
      <c r="AJ40" s="70"/>
      <c r="AK40" s="70"/>
    </row>
    <row r="41" spans="1:37" ht="21.6" customHeight="1" x14ac:dyDescent="0.35">
      <c r="A41" s="109" t="str">
        <f>IF(COUNTIF(C41:I41,"P")=0,"",COUNTIF(C41:I41,"P"))</f>
        <v/>
      </c>
      <c r="B41" s="111">
        <f>IF(AND(IF(F41="P",1,"")=1,L41=""),"",1)</f>
        <v>1</v>
      </c>
      <c r="C41" s="121" t="str">
        <f>IF(CONTROLS!$H$23=TRUE,"P","")</f>
        <v/>
      </c>
      <c r="D41" s="63" t="s">
        <v>375</v>
      </c>
      <c r="E41" s="79"/>
      <c r="F41" s="121" t="str">
        <f>IF(CONTROLS!$H$24=TRUE,"P","")</f>
        <v/>
      </c>
      <c r="G41" s="63" t="s">
        <v>376</v>
      </c>
      <c r="H41" s="72"/>
      <c r="I41" s="72"/>
      <c r="J41" s="72"/>
      <c r="K41" s="72"/>
      <c r="L41" s="304"/>
      <c r="M41" s="304"/>
      <c r="N41" s="304"/>
      <c r="O41" s="304"/>
      <c r="P41" s="304"/>
      <c r="Q41" s="304"/>
      <c r="R41" s="304"/>
      <c r="S41" s="304"/>
      <c r="T41" s="304"/>
      <c r="U41" s="304"/>
      <c r="V41" s="304"/>
      <c r="W41" s="304"/>
      <c r="X41" s="304"/>
      <c r="Y41" s="304"/>
      <c r="Z41" s="304"/>
      <c r="AA41" s="304"/>
      <c r="AB41" s="304"/>
      <c r="AC41" s="304"/>
      <c r="AD41" s="304"/>
      <c r="AE41" s="304"/>
      <c r="AF41" s="304"/>
      <c r="AG41" s="304"/>
      <c r="AH41" s="304"/>
      <c r="AI41" s="304"/>
      <c r="AJ41" s="304"/>
      <c r="AK41" s="304"/>
    </row>
    <row r="42" spans="1:37" s="49" customFormat="1" ht="18" customHeight="1" x14ac:dyDescent="0.35">
      <c r="B42" s="67"/>
      <c r="C42" s="44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63"/>
      <c r="P42" s="63"/>
      <c r="Q42" s="63"/>
    </row>
    <row r="43" spans="1:37" x14ac:dyDescent="0.35">
      <c r="B43" s="71" t="s">
        <v>377</v>
      </c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63"/>
      <c r="P43" s="63"/>
      <c r="Q43" s="63"/>
      <c r="R43" s="63"/>
      <c r="S43" s="63"/>
      <c r="U43" s="72"/>
      <c r="V43" s="63"/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70"/>
      <c r="AI43" s="70"/>
      <c r="AJ43" s="70"/>
      <c r="AK43" s="70"/>
    </row>
    <row r="44" spans="1:37" ht="21.6" customHeight="1" x14ac:dyDescent="0.35">
      <c r="B44" s="63" t="s">
        <v>378</v>
      </c>
      <c r="C44" s="63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63"/>
      <c r="P44" s="63"/>
      <c r="Q44" s="63"/>
      <c r="R44" s="63"/>
      <c r="S44" s="63"/>
      <c r="U44" s="72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70"/>
      <c r="AI44" s="70"/>
      <c r="AJ44" s="70"/>
      <c r="AK44" s="70"/>
    </row>
    <row r="45" spans="1:37" s="46" customFormat="1" ht="21.6" customHeight="1" x14ac:dyDescent="0.35">
      <c r="B45" s="63" t="s">
        <v>379</v>
      </c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</row>
    <row r="46" spans="1:37" s="49" customFormat="1" ht="21.6" customHeight="1" x14ac:dyDescent="0.35">
      <c r="B46" s="63" t="s">
        <v>380</v>
      </c>
      <c r="P46" s="155" t="str">
        <f>IF(CONTROLS!$H$40=TRUE,"P","")</f>
        <v/>
      </c>
      <c r="Q46" s="49" t="s">
        <v>49</v>
      </c>
      <c r="S46" s="155" t="str">
        <f>IF(CONTROLS!$H$41=TRUE,"P","")</f>
        <v/>
      </c>
      <c r="T46" s="49" t="s">
        <v>46</v>
      </c>
    </row>
    <row r="47" spans="1:37" s="49" customFormat="1" ht="43.35" hidden="1" customHeight="1" x14ac:dyDescent="0.4">
      <c r="B47" s="55"/>
    </row>
    <row r="48" spans="1:37" s="49" customFormat="1" ht="43.35" hidden="1" customHeight="1" x14ac:dyDescent="0.4">
      <c r="B48" s="55"/>
    </row>
    <row r="49" spans="1:43" s="49" customFormat="1" ht="43.35" hidden="1" customHeight="1" x14ac:dyDescent="0.35">
      <c r="B49" s="67"/>
      <c r="AQ49" s="72"/>
    </row>
    <row r="50" spans="1:43" s="49" customFormat="1" ht="43.35" hidden="1" customHeight="1" x14ac:dyDescent="0.4">
      <c r="B50" s="55"/>
    </row>
    <row r="51" spans="1:43" s="49" customFormat="1" ht="43.35" hidden="1" customHeight="1" x14ac:dyDescent="0.4">
      <c r="B51" s="55"/>
    </row>
    <row r="52" spans="1:43" s="49" customFormat="1" ht="43.35" hidden="1" customHeight="1" x14ac:dyDescent="0.4">
      <c r="B52" s="55"/>
    </row>
    <row r="53" spans="1:43" s="49" customFormat="1" ht="43.35" hidden="1" customHeight="1" x14ac:dyDescent="0.4">
      <c r="B53" s="55"/>
    </row>
    <row r="54" spans="1:43" s="49" customFormat="1" ht="43.35" hidden="1" customHeight="1" x14ac:dyDescent="0.35">
      <c r="B54" s="67"/>
      <c r="AL54" s="44"/>
      <c r="AM54" s="44"/>
      <c r="AN54" s="44"/>
    </row>
    <row r="55" spans="1:43" s="49" customFormat="1" ht="18" customHeight="1" x14ac:dyDescent="0.4">
      <c r="A55" s="108"/>
      <c r="B55" s="124"/>
      <c r="C55" s="44"/>
      <c r="D55" s="73"/>
      <c r="E55" s="81"/>
      <c r="F55" s="63"/>
      <c r="G55" s="72"/>
      <c r="H55" s="72"/>
      <c r="I55" s="72"/>
      <c r="J55" s="72"/>
      <c r="L55" s="28"/>
      <c r="M55" s="63"/>
      <c r="N55" s="72"/>
      <c r="O55" s="44"/>
      <c r="P55" s="44"/>
      <c r="Q55" s="44"/>
      <c r="S55" s="28"/>
      <c r="T55" s="63"/>
      <c r="U55" s="44"/>
      <c r="V55" s="44"/>
      <c r="W55" s="44"/>
      <c r="X55" s="44"/>
      <c r="Z55" s="28"/>
      <c r="AA55" s="63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</row>
    <row r="56" spans="1:43" s="49" customFormat="1" ht="23.45" customHeight="1" x14ac:dyDescent="0.4">
      <c r="A56" s="108"/>
      <c r="B56" s="124"/>
      <c r="C56" s="312" t="s">
        <v>381</v>
      </c>
      <c r="D56" s="312"/>
      <c r="E56" s="312"/>
      <c r="F56" s="312"/>
      <c r="G56" s="312"/>
      <c r="H56" s="312"/>
      <c r="I56" s="312"/>
      <c r="J56" s="312"/>
      <c r="K56" s="312"/>
      <c r="L56" s="312"/>
      <c r="M56" s="312"/>
      <c r="N56" s="312"/>
      <c r="O56" s="312"/>
      <c r="P56" s="312"/>
      <c r="Q56" s="312"/>
      <c r="R56" s="312"/>
      <c r="S56" s="312"/>
      <c r="T56" s="312"/>
      <c r="U56" s="312"/>
      <c r="V56" s="312"/>
      <c r="W56" s="312"/>
      <c r="X56" s="312"/>
      <c r="Y56" s="312"/>
      <c r="Z56" s="312"/>
      <c r="AA56" s="312"/>
      <c r="AB56" s="312"/>
      <c r="AC56" s="312"/>
      <c r="AD56" s="312"/>
      <c r="AE56" s="312"/>
      <c r="AF56" s="312"/>
      <c r="AG56" s="312"/>
      <c r="AH56" s="312"/>
      <c r="AI56" s="312"/>
      <c r="AJ56" s="312"/>
      <c r="AK56" s="312"/>
      <c r="AL56" s="44"/>
      <c r="AM56" s="44"/>
      <c r="AN56" s="44"/>
    </row>
    <row r="57" spans="1:43" s="49" customFormat="1" ht="23.45" customHeight="1" x14ac:dyDescent="0.4">
      <c r="A57" s="108"/>
      <c r="B57" s="124"/>
      <c r="C57" s="313" t="s">
        <v>382</v>
      </c>
      <c r="D57" s="314"/>
      <c r="E57" s="314"/>
      <c r="F57" s="314"/>
      <c r="G57" s="314"/>
      <c r="H57" s="314"/>
      <c r="I57" s="314"/>
      <c r="J57" s="314"/>
      <c r="K57" s="315"/>
      <c r="L57" s="129" t="str">
        <f>IF(CONTROLS!$H$28=TRUE,"P","")</f>
        <v/>
      </c>
      <c r="M57" s="316" t="s">
        <v>383</v>
      </c>
      <c r="N57" s="316"/>
      <c r="O57" s="316"/>
      <c r="P57" s="316"/>
      <c r="Q57" s="316"/>
      <c r="R57" s="316"/>
      <c r="S57" s="316"/>
      <c r="T57" s="317"/>
      <c r="U57" s="129" t="str">
        <f>IF(CONTROLS!$H$31=TRUE,"P","")</f>
        <v/>
      </c>
      <c r="V57" s="316" t="s">
        <v>384</v>
      </c>
      <c r="W57" s="316"/>
      <c r="X57" s="316"/>
      <c r="Y57" s="316"/>
      <c r="Z57" s="316"/>
      <c r="AA57" s="316"/>
      <c r="AB57" s="316"/>
      <c r="AC57" s="317"/>
      <c r="AD57" s="129" t="str">
        <f>IF(CONTROLS!$H$35=TRUE,"P","")</f>
        <v/>
      </c>
      <c r="AE57" s="316" t="s">
        <v>385</v>
      </c>
      <c r="AF57" s="316"/>
      <c r="AG57" s="316"/>
      <c r="AH57" s="316"/>
      <c r="AI57" s="316"/>
      <c r="AJ57" s="316"/>
      <c r="AK57" s="317"/>
      <c r="AL57" s="44"/>
      <c r="AM57" s="44"/>
      <c r="AN57" s="44"/>
    </row>
    <row r="58" spans="1:43" s="49" customFormat="1" ht="23.45" customHeight="1" x14ac:dyDescent="0.4">
      <c r="A58" s="125" t="str">
        <f>IF(COUNTIF(C57:AK60,"P")=0,"",COUNTIF(C57:AK60,"P"))</f>
        <v/>
      </c>
      <c r="B58" s="124"/>
      <c r="C58" s="129" t="str">
        <f>IF(CONTROLS!$H$25=TRUE,"P","")</f>
        <v/>
      </c>
      <c r="D58" s="316" t="s">
        <v>386</v>
      </c>
      <c r="E58" s="316"/>
      <c r="F58" s="316"/>
      <c r="G58" s="316"/>
      <c r="H58" s="316"/>
      <c r="I58" s="316"/>
      <c r="J58" s="316"/>
      <c r="K58" s="317"/>
      <c r="L58" s="129" t="str">
        <f>IF(CONTROLS!$H$29=TRUE,"P","")</f>
        <v/>
      </c>
      <c r="M58" s="318" t="s">
        <v>387</v>
      </c>
      <c r="N58" s="318"/>
      <c r="O58" s="318"/>
      <c r="P58" s="318"/>
      <c r="Q58" s="318"/>
      <c r="R58" s="318"/>
      <c r="S58" s="318"/>
      <c r="T58" s="319"/>
      <c r="U58" s="129" t="str">
        <f>IF(CONTROLS!$H$32=TRUE,"P","")</f>
        <v/>
      </c>
      <c r="V58" s="316" t="s">
        <v>388</v>
      </c>
      <c r="W58" s="316"/>
      <c r="X58" s="316"/>
      <c r="Y58" s="316"/>
      <c r="Z58" s="316"/>
      <c r="AA58" s="316"/>
      <c r="AB58" s="316"/>
      <c r="AC58" s="317"/>
      <c r="AD58" s="129" t="str">
        <f>IF(CONTROLS!$H$36=TRUE,"P","")</f>
        <v/>
      </c>
      <c r="AE58" s="316" t="s">
        <v>389</v>
      </c>
      <c r="AF58" s="316"/>
      <c r="AG58" s="316"/>
      <c r="AH58" s="316"/>
      <c r="AI58" s="316"/>
      <c r="AJ58" s="316"/>
      <c r="AK58" s="317"/>
      <c r="AL58" s="44"/>
      <c r="AO58" s="44"/>
      <c r="AP58" s="44"/>
    </row>
    <row r="59" spans="1:43" s="56" customFormat="1" ht="23.45" customHeight="1" x14ac:dyDescent="0.4">
      <c r="A59" s="112">
        <f>IF(AND(IF(C60="P",1,"")=1,G60=""),"",1)</f>
        <v>1</v>
      </c>
      <c r="B59" s="126"/>
      <c r="C59" s="129" t="str">
        <f>IF(CONTROLS!$H$26=TRUE,"P","")</f>
        <v/>
      </c>
      <c r="D59" s="316" t="s">
        <v>390</v>
      </c>
      <c r="E59" s="316"/>
      <c r="F59" s="316"/>
      <c r="G59" s="316"/>
      <c r="H59" s="316"/>
      <c r="I59" s="316"/>
      <c r="J59" s="316"/>
      <c r="K59" s="317"/>
      <c r="L59" s="121" t="str">
        <f>IF(CONTROLS!$H$30=TRUE,"P","")</f>
        <v/>
      </c>
      <c r="M59" s="320" t="s">
        <v>391</v>
      </c>
      <c r="N59" s="320"/>
      <c r="O59" s="320"/>
      <c r="P59" s="320"/>
      <c r="Q59" s="320"/>
      <c r="R59" s="320"/>
      <c r="S59" s="320"/>
      <c r="T59" s="321"/>
      <c r="U59" s="129" t="str">
        <f>IF(CONTROLS!$H$33=TRUE,"P","")</f>
        <v/>
      </c>
      <c r="V59" s="316" t="s">
        <v>392</v>
      </c>
      <c r="W59" s="316"/>
      <c r="X59" s="316"/>
      <c r="Y59" s="316"/>
      <c r="Z59" s="316"/>
      <c r="AA59" s="316"/>
      <c r="AB59" s="316"/>
      <c r="AC59" s="317"/>
      <c r="AD59" s="121" t="str">
        <f>IF(CONTROLS!$H$37=TRUE,"P","")</f>
        <v/>
      </c>
      <c r="AE59" s="320" t="s">
        <v>393</v>
      </c>
      <c r="AF59" s="320"/>
      <c r="AG59" s="320"/>
      <c r="AH59" s="320"/>
      <c r="AI59" s="320"/>
      <c r="AJ59" s="320"/>
      <c r="AK59" s="321"/>
      <c r="AL59" s="44"/>
      <c r="AM59" s="44"/>
      <c r="AN59" s="44"/>
    </row>
    <row r="60" spans="1:43" s="49" customFormat="1" ht="23.45" customHeight="1" x14ac:dyDescent="0.4">
      <c r="A60" s="112">
        <f>IF(AND(IF(U60="P",1,"")=1,Y60=""),"",1)</f>
        <v>1</v>
      </c>
      <c r="B60" s="124"/>
      <c r="C60" s="129" t="str">
        <f>IF(CONTROLS!$H$27=TRUE,"P","")</f>
        <v/>
      </c>
      <c r="D60" s="117" t="s">
        <v>394</v>
      </c>
      <c r="E60" s="117"/>
      <c r="F60" s="117"/>
      <c r="G60" s="324"/>
      <c r="H60" s="324"/>
      <c r="I60" s="324"/>
      <c r="J60" s="324"/>
      <c r="K60" s="324"/>
      <c r="L60" s="324"/>
      <c r="M60" s="324"/>
      <c r="N60" s="324"/>
      <c r="O60" s="324"/>
      <c r="P60" s="324"/>
      <c r="Q60" s="324"/>
      <c r="R60" s="324"/>
      <c r="S60" s="324"/>
      <c r="T60" s="325"/>
      <c r="U60" s="121" t="str">
        <f>IF(CONTROLS!$H$34=TRUE,"P","")</f>
        <v/>
      </c>
      <c r="V60" s="82" t="s">
        <v>395</v>
      </c>
      <c r="W60" s="82"/>
      <c r="X60" s="82"/>
      <c r="Y60" s="326"/>
      <c r="Z60" s="326"/>
      <c r="AA60" s="326"/>
      <c r="AB60" s="326"/>
      <c r="AC60" s="326"/>
      <c r="AD60" s="324"/>
      <c r="AE60" s="324"/>
      <c r="AF60" s="324"/>
      <c r="AG60" s="324"/>
      <c r="AH60" s="324"/>
      <c r="AI60" s="324"/>
      <c r="AJ60" s="324"/>
      <c r="AK60" s="325"/>
      <c r="AO60" s="44"/>
      <c r="AP60" s="44"/>
    </row>
    <row r="61" spans="1:43" s="49" customFormat="1" ht="23.45" customHeight="1" x14ac:dyDescent="0.4">
      <c r="A61" s="108"/>
      <c r="B61" s="124"/>
      <c r="C61" s="327" t="s">
        <v>396</v>
      </c>
      <c r="D61" s="328"/>
      <c r="E61" s="328"/>
      <c r="F61" s="328"/>
      <c r="G61" s="328"/>
      <c r="H61" s="328"/>
      <c r="I61" s="328"/>
      <c r="J61" s="328"/>
      <c r="K61" s="328"/>
      <c r="L61" s="328"/>
      <c r="M61" s="328"/>
      <c r="N61" s="328"/>
      <c r="O61" s="328"/>
      <c r="P61" s="329"/>
      <c r="Q61" s="121" t="str">
        <f>IF('CP-4'!M33="P","P","")</f>
        <v>P</v>
      </c>
      <c r="R61" s="63" t="s">
        <v>54</v>
      </c>
      <c r="S61" s="132"/>
      <c r="T61" s="83"/>
      <c r="U61" s="84"/>
      <c r="V61" s="121" t="str">
        <f>IF('CP-4'!O33="P","P","")</f>
        <v/>
      </c>
      <c r="W61" s="63" t="s">
        <v>397</v>
      </c>
      <c r="X61" s="85"/>
      <c r="Y61" s="133"/>
      <c r="Z61" s="134"/>
      <c r="AA61" s="83"/>
      <c r="AB61" s="85"/>
      <c r="AC61" s="85"/>
      <c r="AD61" s="85"/>
      <c r="AE61" s="85"/>
      <c r="AF61" s="133"/>
      <c r="AG61" s="133"/>
      <c r="AH61" s="133"/>
      <c r="AI61" s="133"/>
      <c r="AJ61" s="133"/>
      <c r="AK61" s="135"/>
      <c r="AO61" s="44"/>
      <c r="AP61" s="44"/>
    </row>
    <row r="62" spans="1:43" s="49" customFormat="1" ht="23.45" customHeight="1" x14ac:dyDescent="0.4">
      <c r="A62" s="108"/>
      <c r="B62" s="124"/>
      <c r="C62" s="86" t="s">
        <v>398</v>
      </c>
      <c r="D62" s="87"/>
      <c r="E62" s="87"/>
      <c r="F62" s="87"/>
      <c r="G62" s="320"/>
      <c r="H62" s="320"/>
      <c r="I62" s="320"/>
      <c r="J62" s="320"/>
      <c r="K62" s="320"/>
      <c r="L62" s="320"/>
      <c r="M62" s="320"/>
      <c r="N62" s="320"/>
      <c r="O62" s="320"/>
      <c r="P62" s="321"/>
      <c r="Q62" s="88"/>
      <c r="R62" s="89"/>
      <c r="S62" s="90"/>
      <c r="T62" s="82"/>
      <c r="U62" s="91"/>
      <c r="V62" s="92"/>
      <c r="W62" s="93"/>
      <c r="X62" s="94"/>
      <c r="Y62" s="89"/>
      <c r="Z62" s="82"/>
      <c r="AA62" s="82"/>
      <c r="AB62" s="82"/>
      <c r="AC62" s="82"/>
      <c r="AD62" s="93"/>
      <c r="AE62" s="94"/>
      <c r="AF62" s="89"/>
      <c r="AG62" s="82"/>
      <c r="AH62" s="82"/>
      <c r="AI62" s="82"/>
      <c r="AJ62" s="82"/>
      <c r="AK62" s="95"/>
    </row>
    <row r="63" spans="1:43" s="63" customFormat="1" ht="23.45" customHeight="1" x14ac:dyDescent="0.25">
      <c r="A63" s="127"/>
      <c r="B63" s="128"/>
      <c r="C63" s="96" t="s">
        <v>284</v>
      </c>
      <c r="D63" s="322" t="str">
        <f>IF('CP-4'!B34="","",'CP-4'!B34)</f>
        <v/>
      </c>
      <c r="E63" s="322"/>
      <c r="F63" s="322"/>
      <c r="G63" s="322"/>
      <c r="H63" s="322"/>
      <c r="I63" s="322"/>
      <c r="J63" s="322"/>
      <c r="K63" s="322"/>
      <c r="L63" s="322"/>
      <c r="M63" s="322"/>
      <c r="N63" s="322"/>
      <c r="O63" s="322"/>
      <c r="P63" s="322"/>
      <c r="Q63" s="322"/>
      <c r="R63" s="322"/>
      <c r="S63" s="322"/>
      <c r="T63" s="322"/>
      <c r="U63" s="322"/>
      <c r="V63" s="322"/>
      <c r="W63" s="322"/>
      <c r="X63" s="322"/>
      <c r="Y63" s="322"/>
      <c r="Z63" s="322"/>
      <c r="AA63" s="322"/>
      <c r="AB63" s="322"/>
      <c r="AC63" s="322"/>
      <c r="AD63" s="322"/>
      <c r="AE63" s="322"/>
      <c r="AF63" s="322"/>
      <c r="AG63" s="322"/>
      <c r="AH63" s="322"/>
      <c r="AI63" s="322"/>
      <c r="AJ63" s="322"/>
      <c r="AK63" s="323"/>
    </row>
    <row r="64" spans="1:43" ht="33.6" customHeight="1" x14ac:dyDescent="0.4">
      <c r="A64" s="110"/>
      <c r="B64" s="124"/>
      <c r="C64" s="60" t="s">
        <v>399</v>
      </c>
      <c r="E64" s="63"/>
      <c r="F64" s="63"/>
      <c r="H64" s="63"/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</row>
    <row r="65" spans="1:37" ht="295.35000000000002" customHeight="1" x14ac:dyDescent="0.4">
      <c r="B65" s="55"/>
    </row>
    <row r="66" spans="1:37" ht="21.6" customHeight="1" x14ac:dyDescent="0.4">
      <c r="B66" s="55"/>
    </row>
    <row r="67" spans="1:37" ht="21.6" customHeight="1" x14ac:dyDescent="0.4">
      <c r="B67" s="55"/>
    </row>
    <row r="68" spans="1:37" ht="21.6" customHeight="1" x14ac:dyDescent="0.4">
      <c r="B68" s="55"/>
    </row>
    <row r="69" spans="1:37" ht="21.6" customHeight="1" x14ac:dyDescent="0.4">
      <c r="A69" s="110"/>
      <c r="B69" s="124"/>
      <c r="C69" s="63"/>
      <c r="E69" s="63"/>
      <c r="F69" s="63"/>
      <c r="H69" s="63" t="s">
        <v>271</v>
      </c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  <c r="AK69" s="63"/>
    </row>
    <row r="70" spans="1:37" ht="21.6" customHeight="1" x14ac:dyDescent="0.4">
      <c r="B70" s="55"/>
      <c r="H70" s="44" t="s">
        <v>400</v>
      </c>
      <c r="P70" s="44" t="s">
        <v>273</v>
      </c>
    </row>
    <row r="71" spans="1:37" ht="21.6" customHeight="1" x14ac:dyDescent="0.4">
      <c r="B71" s="55"/>
    </row>
    <row r="72" spans="1:37" ht="21.6" customHeight="1" x14ac:dyDescent="0.4">
      <c r="B72" s="55"/>
    </row>
    <row r="73" spans="1:37" ht="21.6" customHeight="1" x14ac:dyDescent="0.4">
      <c r="B73" s="55"/>
    </row>
    <row r="74" spans="1:37" ht="21.6" customHeight="1" x14ac:dyDescent="0.4">
      <c r="B74" s="55"/>
    </row>
    <row r="75" spans="1:37" ht="21.6" customHeight="1" x14ac:dyDescent="0.4">
      <c r="B75" s="55"/>
    </row>
    <row r="76" spans="1:37" ht="21.6" customHeight="1" x14ac:dyDescent="0.4">
      <c r="B76" s="55"/>
    </row>
    <row r="77" spans="1:37" ht="21.6" customHeight="1" x14ac:dyDescent="0.4">
      <c r="B77" s="55"/>
    </row>
    <row r="78" spans="1:37" ht="27.75" x14ac:dyDescent="0.4">
      <c r="B78" s="55"/>
    </row>
    <row r="79" spans="1:37" ht="27.75" x14ac:dyDescent="0.4">
      <c r="B79" s="55"/>
    </row>
    <row r="80" spans="1:37" ht="27.75" x14ac:dyDescent="0.4">
      <c r="B80" s="55"/>
    </row>
    <row r="81" spans="2:2" ht="27.75" x14ac:dyDescent="0.4">
      <c r="B81" s="55"/>
    </row>
    <row r="82" spans="2:2" ht="27.75" x14ac:dyDescent="0.4">
      <c r="B82" s="55"/>
    </row>
    <row r="83" spans="2:2" ht="27.75" x14ac:dyDescent="0.4">
      <c r="B83" s="55"/>
    </row>
  </sheetData>
  <sheetProtection algorithmName="SHA-512" hashValue="wEfazKg/TsI8pkbN0xzZdaf1gLIeGsidYZ2n3VZ5O5VYgI1QW9rAJWImRHUAhfaYh9cmc924jm3SKAS4eaf3/A==" saltValue="jW/M/arpG2RCfJq89T2xSw==" spinCount="100000" sheet="1" objects="1" scenarios="1" formatRows="0"/>
  <mergeCells count="31">
    <mergeCell ref="D59:K59"/>
    <mergeCell ref="M59:T59"/>
    <mergeCell ref="V59:AC59"/>
    <mergeCell ref="D63:AK63"/>
    <mergeCell ref="AE59:AK59"/>
    <mergeCell ref="G60:T60"/>
    <mergeCell ref="Y60:AK60"/>
    <mergeCell ref="C61:P61"/>
    <mergeCell ref="G62:P62"/>
    <mergeCell ref="C56:AK56"/>
    <mergeCell ref="C57:K57"/>
    <mergeCell ref="D58:K58"/>
    <mergeCell ref="M57:T57"/>
    <mergeCell ref="M58:T58"/>
    <mergeCell ref="V57:AC57"/>
    <mergeCell ref="V58:AC58"/>
    <mergeCell ref="AE57:AK57"/>
    <mergeCell ref="AE58:AK58"/>
    <mergeCell ref="K31:AK31"/>
    <mergeCell ref="M38:AK38"/>
    <mergeCell ref="M35:AK35"/>
    <mergeCell ref="L41:AK41"/>
    <mergeCell ref="B2:AK2"/>
    <mergeCell ref="V25:AK25"/>
    <mergeCell ref="C25:U25"/>
    <mergeCell ref="C26:U26"/>
    <mergeCell ref="V26:AK26"/>
    <mergeCell ref="AD23:AK23"/>
    <mergeCell ref="S23:AC23"/>
    <mergeCell ref="T33:AK33"/>
    <mergeCell ref="C39:Q39"/>
  </mergeCells>
  <conditionalFormatting sqref="AD23:AK23">
    <cfRule type="notContainsBlanks" dxfId="53" priority="5">
      <formula>LEN(TRIM(AD23))&gt;0</formula>
    </cfRule>
    <cfRule type="expression" dxfId="52" priority="6">
      <formula>$R$23="p"</formula>
    </cfRule>
  </conditionalFormatting>
  <conditionalFormatting sqref="G60:T60">
    <cfRule type="notContainsBlanks" dxfId="51" priority="3">
      <formula>LEN(TRIM(G60))&gt;0</formula>
    </cfRule>
    <cfRule type="expression" dxfId="50" priority="4">
      <formula>$C$60="P"</formula>
    </cfRule>
  </conditionalFormatting>
  <conditionalFormatting sqref="Y60:AK60">
    <cfRule type="notContainsBlanks" dxfId="49" priority="1">
      <formula>LEN(TRIM(Y60))&gt;0</formula>
    </cfRule>
    <cfRule type="expression" dxfId="48" priority="2">
      <formula>$U$60="P"</formula>
    </cfRule>
  </conditionalFormatting>
  <pageMargins left="1" right="0.7" top="0.2" bottom="0.15" header="0.3" footer="0.3"/>
  <pageSetup scale="4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66" r:id="rId4" name="Check Box 54">
              <controlPr defaultSize="0" print="0" autoFill="0" autoLine="0" autoPict="0">
                <anchor moveWithCells="1">
                  <from>
                    <xdr:col>12</xdr:col>
                    <xdr:colOff>85725</xdr:colOff>
                    <xdr:row>3</xdr:row>
                    <xdr:rowOff>28575</xdr:rowOff>
                  </from>
                  <to>
                    <xdr:col>12</xdr:col>
                    <xdr:colOff>333375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2" r:id="rId5" name="Check Box 60">
              <controlPr defaultSize="0" print="0" autoFill="0" autoLine="0" autoPict="0">
                <anchor moveWithCells="1">
                  <from>
                    <xdr:col>26</xdr:col>
                    <xdr:colOff>85725</xdr:colOff>
                    <xdr:row>3</xdr:row>
                    <xdr:rowOff>28575</xdr:rowOff>
                  </from>
                  <to>
                    <xdr:col>26</xdr:col>
                    <xdr:colOff>333375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3" r:id="rId6" name="Check Box 61">
              <controlPr defaultSize="0" print="0" autoFill="0" autoLine="0" autoPict="0">
                <anchor moveWithCells="1">
                  <from>
                    <xdr:col>19</xdr:col>
                    <xdr:colOff>85725</xdr:colOff>
                    <xdr:row>3</xdr:row>
                    <xdr:rowOff>28575</xdr:rowOff>
                  </from>
                  <to>
                    <xdr:col>19</xdr:col>
                    <xdr:colOff>333375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4" r:id="rId7" name="Check Box 62">
              <controlPr defaultSize="0" print="0" autoFill="0" autoLine="0" autoPict="0">
                <anchor moveWithCells="1">
                  <from>
                    <xdr:col>21</xdr:col>
                    <xdr:colOff>85725</xdr:colOff>
                    <xdr:row>4</xdr:row>
                    <xdr:rowOff>28575</xdr:rowOff>
                  </from>
                  <to>
                    <xdr:col>21</xdr:col>
                    <xdr:colOff>333375</xdr:colOff>
                    <xdr:row>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5" r:id="rId8" name="Check Box 63">
              <controlPr defaultSize="0" print="0" autoFill="0" autoLine="0" autoPict="0">
                <anchor moveWithCells="1">
                  <from>
                    <xdr:col>28</xdr:col>
                    <xdr:colOff>85725</xdr:colOff>
                    <xdr:row>4</xdr:row>
                    <xdr:rowOff>28575</xdr:rowOff>
                  </from>
                  <to>
                    <xdr:col>28</xdr:col>
                    <xdr:colOff>333375</xdr:colOff>
                    <xdr:row>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6" r:id="rId9" name="Check Box 64">
              <controlPr defaultSize="0" print="0" autoFill="0" autoLine="0" autoPict="0">
                <anchor moveWithCells="1">
                  <from>
                    <xdr:col>14</xdr:col>
                    <xdr:colOff>85725</xdr:colOff>
                    <xdr:row>4</xdr:row>
                    <xdr:rowOff>28575</xdr:rowOff>
                  </from>
                  <to>
                    <xdr:col>14</xdr:col>
                    <xdr:colOff>333375</xdr:colOff>
                    <xdr:row>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7" r:id="rId10" name="Check Box 65">
              <controlPr defaultSize="0" print="0" autoFill="0" autoLine="0" autoPict="0">
                <anchor moveWithCells="1">
                  <from>
                    <xdr:col>5</xdr:col>
                    <xdr:colOff>104775</xdr:colOff>
                    <xdr:row>8</xdr:row>
                    <xdr:rowOff>28575</xdr:rowOff>
                  </from>
                  <to>
                    <xdr:col>5</xdr:col>
                    <xdr:colOff>342900</xdr:colOff>
                    <xdr:row>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8" r:id="rId11" name="Check Box 66">
              <controlPr defaultSize="0" print="0" autoFill="0" autoLine="0" autoPict="0">
                <anchor moveWithCells="1">
                  <from>
                    <xdr:col>11</xdr:col>
                    <xdr:colOff>161925</xdr:colOff>
                    <xdr:row>8</xdr:row>
                    <xdr:rowOff>28575</xdr:rowOff>
                  </from>
                  <to>
                    <xdr:col>11</xdr:col>
                    <xdr:colOff>409575</xdr:colOff>
                    <xdr:row>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12" name="Check Box 67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8</xdr:row>
                    <xdr:rowOff>28575</xdr:rowOff>
                  </from>
                  <to>
                    <xdr:col>2</xdr:col>
                    <xdr:colOff>333375</xdr:colOff>
                    <xdr:row>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0" r:id="rId13" name="Check Box 68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22</xdr:row>
                    <xdr:rowOff>28575</xdr:rowOff>
                  </from>
                  <to>
                    <xdr:col>2</xdr:col>
                    <xdr:colOff>333375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1" r:id="rId14" name="Check Box 69">
              <controlPr defaultSize="0" print="0" autoFill="0" autoLine="0" autoPict="0">
                <anchor moveWithCells="1">
                  <from>
                    <xdr:col>17</xdr:col>
                    <xdr:colOff>85725</xdr:colOff>
                    <xdr:row>22</xdr:row>
                    <xdr:rowOff>28575</xdr:rowOff>
                  </from>
                  <to>
                    <xdr:col>17</xdr:col>
                    <xdr:colOff>333375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3" r:id="rId15" name="Check Box 101">
              <controlPr defaultSize="0" print="0" autoFill="0" autoLine="0" autoPict="0">
                <anchor moveWithCells="1">
                  <from>
                    <xdr:col>5</xdr:col>
                    <xdr:colOff>85725</xdr:colOff>
                    <xdr:row>28</xdr:row>
                    <xdr:rowOff>28575</xdr:rowOff>
                  </from>
                  <to>
                    <xdr:col>5</xdr:col>
                    <xdr:colOff>333375</xdr:colOff>
                    <xdr:row>28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" r:id="rId16" name="Check Box 102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30</xdr:row>
                    <xdr:rowOff>28575</xdr:rowOff>
                  </from>
                  <to>
                    <xdr:col>2</xdr:col>
                    <xdr:colOff>333375</xdr:colOff>
                    <xdr:row>30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" r:id="rId17" name="Check Box 103">
              <controlPr defaultSize="0" print="0" autoFill="0" autoLine="0" autoPict="0">
                <anchor moveWithCells="1">
                  <from>
                    <xdr:col>5</xdr:col>
                    <xdr:colOff>85725</xdr:colOff>
                    <xdr:row>30</xdr:row>
                    <xdr:rowOff>28575</xdr:rowOff>
                  </from>
                  <to>
                    <xdr:col>5</xdr:col>
                    <xdr:colOff>333375</xdr:colOff>
                    <xdr:row>30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6" r:id="rId18" name="Check Box 104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32</xdr:row>
                    <xdr:rowOff>28575</xdr:rowOff>
                  </from>
                  <to>
                    <xdr:col>2</xdr:col>
                    <xdr:colOff>333375</xdr:colOff>
                    <xdr:row>32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7" r:id="rId19" name="Check Box 105">
              <controlPr defaultSize="0" print="0" autoFill="0" autoLine="0" autoPict="0">
                <anchor moveWithCells="1">
                  <from>
                    <xdr:col>5</xdr:col>
                    <xdr:colOff>85725</xdr:colOff>
                    <xdr:row>32</xdr:row>
                    <xdr:rowOff>28575</xdr:rowOff>
                  </from>
                  <to>
                    <xdr:col>5</xdr:col>
                    <xdr:colOff>333375</xdr:colOff>
                    <xdr:row>32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8" r:id="rId20" name="Check Box 106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34</xdr:row>
                    <xdr:rowOff>28575</xdr:rowOff>
                  </from>
                  <to>
                    <xdr:col>2</xdr:col>
                    <xdr:colOff>333375</xdr:colOff>
                    <xdr:row>34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9" r:id="rId21" name="Check Box 107">
              <controlPr defaultSize="0" print="0" autoFill="0" autoLine="0" autoPict="0">
                <anchor moveWithCells="1">
                  <from>
                    <xdr:col>5</xdr:col>
                    <xdr:colOff>85725</xdr:colOff>
                    <xdr:row>34</xdr:row>
                    <xdr:rowOff>28575</xdr:rowOff>
                  </from>
                  <to>
                    <xdr:col>5</xdr:col>
                    <xdr:colOff>333375</xdr:colOff>
                    <xdr:row>34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0" r:id="rId22" name="Check Box 108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37</xdr:row>
                    <xdr:rowOff>28575</xdr:rowOff>
                  </from>
                  <to>
                    <xdr:col>2</xdr:col>
                    <xdr:colOff>333375</xdr:colOff>
                    <xdr:row>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1" r:id="rId23" name="Check Box 109">
              <controlPr defaultSize="0" print="0" autoFill="0" autoLine="0" autoPict="0">
                <anchor moveWithCells="1">
                  <from>
                    <xdr:col>5</xdr:col>
                    <xdr:colOff>85725</xdr:colOff>
                    <xdr:row>37</xdr:row>
                    <xdr:rowOff>28575</xdr:rowOff>
                  </from>
                  <to>
                    <xdr:col>5</xdr:col>
                    <xdr:colOff>333375</xdr:colOff>
                    <xdr:row>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2" r:id="rId24" name="Check Box 110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40</xdr:row>
                    <xdr:rowOff>28575</xdr:rowOff>
                  </from>
                  <to>
                    <xdr:col>2</xdr:col>
                    <xdr:colOff>333375</xdr:colOff>
                    <xdr:row>40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3" r:id="rId25" name="Check Box 111">
              <controlPr defaultSize="0" print="0" autoFill="0" autoLine="0" autoPict="0">
                <anchor moveWithCells="1">
                  <from>
                    <xdr:col>5</xdr:col>
                    <xdr:colOff>85725</xdr:colOff>
                    <xdr:row>40</xdr:row>
                    <xdr:rowOff>28575</xdr:rowOff>
                  </from>
                  <to>
                    <xdr:col>5</xdr:col>
                    <xdr:colOff>333375</xdr:colOff>
                    <xdr:row>40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4" r:id="rId26" name="Check Box 112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57</xdr:row>
                    <xdr:rowOff>28575</xdr:rowOff>
                  </from>
                  <to>
                    <xdr:col>2</xdr:col>
                    <xdr:colOff>333375</xdr:colOff>
                    <xdr:row>57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5" r:id="rId27" name="Check Box 113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58</xdr:row>
                    <xdr:rowOff>28575</xdr:rowOff>
                  </from>
                  <to>
                    <xdr:col>2</xdr:col>
                    <xdr:colOff>333375</xdr:colOff>
                    <xdr:row>58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6" r:id="rId28" name="Check Box 114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59</xdr:row>
                    <xdr:rowOff>28575</xdr:rowOff>
                  </from>
                  <to>
                    <xdr:col>2</xdr:col>
                    <xdr:colOff>333375</xdr:colOff>
                    <xdr:row>59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7" r:id="rId29" name="Check Box 115">
              <controlPr defaultSize="0" print="0" autoFill="0" autoLine="0" autoPict="0">
                <anchor moveWithCells="1">
                  <from>
                    <xdr:col>11</xdr:col>
                    <xdr:colOff>85725</xdr:colOff>
                    <xdr:row>56</xdr:row>
                    <xdr:rowOff>28575</xdr:rowOff>
                  </from>
                  <to>
                    <xdr:col>11</xdr:col>
                    <xdr:colOff>333375</xdr:colOff>
                    <xdr:row>56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8" r:id="rId30" name="Check Box 116">
              <controlPr defaultSize="0" print="0" autoFill="0" autoLine="0" autoPict="0">
                <anchor moveWithCells="1">
                  <from>
                    <xdr:col>11</xdr:col>
                    <xdr:colOff>85725</xdr:colOff>
                    <xdr:row>57</xdr:row>
                    <xdr:rowOff>28575</xdr:rowOff>
                  </from>
                  <to>
                    <xdr:col>11</xdr:col>
                    <xdr:colOff>333375</xdr:colOff>
                    <xdr:row>57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9" r:id="rId31" name="Check Box 117">
              <controlPr defaultSize="0" print="0" autoFill="0" autoLine="0" autoPict="0">
                <anchor moveWithCells="1">
                  <from>
                    <xdr:col>11</xdr:col>
                    <xdr:colOff>85725</xdr:colOff>
                    <xdr:row>58</xdr:row>
                    <xdr:rowOff>28575</xdr:rowOff>
                  </from>
                  <to>
                    <xdr:col>11</xdr:col>
                    <xdr:colOff>333375</xdr:colOff>
                    <xdr:row>58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0" r:id="rId32" name="Check Box 118">
              <controlPr defaultSize="0" print="0" autoFill="0" autoLine="0" autoPict="0">
                <anchor moveWithCells="1">
                  <from>
                    <xdr:col>20</xdr:col>
                    <xdr:colOff>85725</xdr:colOff>
                    <xdr:row>56</xdr:row>
                    <xdr:rowOff>28575</xdr:rowOff>
                  </from>
                  <to>
                    <xdr:col>20</xdr:col>
                    <xdr:colOff>333375</xdr:colOff>
                    <xdr:row>56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1" r:id="rId33" name="Check Box 119">
              <controlPr defaultSize="0" print="0" autoFill="0" autoLine="0" autoPict="0">
                <anchor moveWithCells="1">
                  <from>
                    <xdr:col>20</xdr:col>
                    <xdr:colOff>85725</xdr:colOff>
                    <xdr:row>57</xdr:row>
                    <xdr:rowOff>28575</xdr:rowOff>
                  </from>
                  <to>
                    <xdr:col>20</xdr:col>
                    <xdr:colOff>333375</xdr:colOff>
                    <xdr:row>57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2" r:id="rId34" name="Check Box 120">
              <controlPr defaultSize="0" print="0" autoFill="0" autoLine="0" autoPict="0">
                <anchor moveWithCells="1">
                  <from>
                    <xdr:col>20</xdr:col>
                    <xdr:colOff>85725</xdr:colOff>
                    <xdr:row>58</xdr:row>
                    <xdr:rowOff>28575</xdr:rowOff>
                  </from>
                  <to>
                    <xdr:col>20</xdr:col>
                    <xdr:colOff>333375</xdr:colOff>
                    <xdr:row>58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3" r:id="rId35" name="Check Box 121">
              <controlPr defaultSize="0" print="0" autoFill="0" autoLine="0" autoPict="0">
                <anchor moveWithCells="1">
                  <from>
                    <xdr:col>20</xdr:col>
                    <xdr:colOff>85725</xdr:colOff>
                    <xdr:row>59</xdr:row>
                    <xdr:rowOff>28575</xdr:rowOff>
                  </from>
                  <to>
                    <xdr:col>20</xdr:col>
                    <xdr:colOff>333375</xdr:colOff>
                    <xdr:row>59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4" r:id="rId36" name="Check Box 122">
              <controlPr defaultSize="0" print="0" autoFill="0" autoLine="0" autoPict="0">
                <anchor moveWithCells="1">
                  <from>
                    <xdr:col>29</xdr:col>
                    <xdr:colOff>85725</xdr:colOff>
                    <xdr:row>56</xdr:row>
                    <xdr:rowOff>28575</xdr:rowOff>
                  </from>
                  <to>
                    <xdr:col>29</xdr:col>
                    <xdr:colOff>333375</xdr:colOff>
                    <xdr:row>56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5" r:id="rId37" name="Check Box 123">
              <controlPr defaultSize="0" print="0" autoFill="0" autoLine="0" autoPict="0">
                <anchor moveWithCells="1">
                  <from>
                    <xdr:col>29</xdr:col>
                    <xdr:colOff>85725</xdr:colOff>
                    <xdr:row>57</xdr:row>
                    <xdr:rowOff>28575</xdr:rowOff>
                  </from>
                  <to>
                    <xdr:col>29</xdr:col>
                    <xdr:colOff>333375</xdr:colOff>
                    <xdr:row>57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6" r:id="rId38" name="Check Box 124">
              <controlPr defaultSize="0" print="0" autoFill="0" autoLine="0" autoPict="0">
                <anchor moveWithCells="1">
                  <from>
                    <xdr:col>29</xdr:col>
                    <xdr:colOff>85725</xdr:colOff>
                    <xdr:row>58</xdr:row>
                    <xdr:rowOff>28575</xdr:rowOff>
                  </from>
                  <to>
                    <xdr:col>29</xdr:col>
                    <xdr:colOff>333375</xdr:colOff>
                    <xdr:row>58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2" r:id="rId39" name="Check Box 100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28</xdr:row>
                    <xdr:rowOff>28575</xdr:rowOff>
                  </from>
                  <to>
                    <xdr:col>2</xdr:col>
                    <xdr:colOff>333375</xdr:colOff>
                    <xdr:row>28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7" r:id="rId40" name="Check Box 125">
              <controlPr defaultSize="0" print="0" autoFill="0" autoLine="0" autoPict="0">
                <anchor moveWithCells="1">
                  <from>
                    <xdr:col>15</xdr:col>
                    <xdr:colOff>85725</xdr:colOff>
                    <xdr:row>45</xdr:row>
                    <xdr:rowOff>28575</xdr:rowOff>
                  </from>
                  <to>
                    <xdr:col>15</xdr:col>
                    <xdr:colOff>333375</xdr:colOff>
                    <xdr:row>45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8" r:id="rId41" name="Check Box 126">
              <controlPr defaultSize="0" print="0" autoFill="0" autoLine="0" autoPict="0">
                <anchor moveWithCells="1">
                  <from>
                    <xdr:col>18</xdr:col>
                    <xdr:colOff>104775</xdr:colOff>
                    <xdr:row>45</xdr:row>
                    <xdr:rowOff>9525</xdr:rowOff>
                  </from>
                  <to>
                    <xdr:col>18</xdr:col>
                    <xdr:colOff>352425</xdr:colOff>
                    <xdr:row>45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84691-C8B8-4EC4-89D7-94702494CC53}">
  <sheetPr codeName="Sheet8">
    <tabColor rgb="FFFFFF00"/>
    <pageSetUpPr fitToPage="1"/>
  </sheetPr>
  <dimension ref="A1:AQ83"/>
  <sheetViews>
    <sheetView showGridLines="0" zoomScale="70" zoomScaleNormal="70" workbookViewId="0">
      <selection activeCell="Q17" sqref="Q17:S17"/>
    </sheetView>
  </sheetViews>
  <sheetFormatPr defaultColWidth="12" defaultRowHeight="33" x14ac:dyDescent="0.45"/>
  <cols>
    <col min="1" max="1" width="3.42578125" style="44" customWidth="1"/>
    <col min="2" max="2" width="5.85546875" style="66" customWidth="1"/>
    <col min="3" max="3" width="5" style="44" customWidth="1"/>
    <col min="4" max="11" width="5.42578125" style="44" customWidth="1"/>
    <col min="12" max="12" width="6.7109375" style="44" customWidth="1"/>
    <col min="13" max="31" width="5.140625" style="44" customWidth="1"/>
    <col min="32" max="32" width="5" style="44" customWidth="1"/>
    <col min="33" max="33" width="4" style="44" customWidth="1"/>
    <col min="34" max="37" width="5.140625" style="44" customWidth="1"/>
    <col min="38" max="43" width="6.140625" style="44" customWidth="1"/>
    <col min="44" max="16384" width="12" style="44"/>
  </cols>
  <sheetData>
    <row r="1" spans="1:42" ht="19.350000000000001" customHeight="1" x14ac:dyDescent="0.45"/>
    <row r="2" spans="1:42" ht="49.5" x14ac:dyDescent="0.65">
      <c r="B2" s="272" t="s">
        <v>188</v>
      </c>
      <c r="C2" s="272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72"/>
      <c r="P2" s="272"/>
      <c r="Q2" s="272"/>
      <c r="R2" s="272"/>
      <c r="S2" s="272"/>
      <c r="T2" s="272"/>
      <c r="U2" s="272"/>
      <c r="V2" s="272"/>
      <c r="W2" s="272"/>
      <c r="X2" s="272"/>
      <c r="Y2" s="272"/>
      <c r="Z2" s="272"/>
      <c r="AA2" s="272"/>
      <c r="AB2" s="272"/>
      <c r="AC2" s="272"/>
      <c r="AD2" s="272"/>
      <c r="AE2" s="272"/>
      <c r="AF2" s="272"/>
      <c r="AG2" s="272"/>
      <c r="AH2" s="272"/>
      <c r="AI2" s="272"/>
      <c r="AJ2" s="272"/>
      <c r="AK2" s="272"/>
    </row>
    <row r="3" spans="1:42" ht="22.7" customHeight="1" x14ac:dyDescent="0.45"/>
    <row r="4" spans="1:42" x14ac:dyDescent="0.35">
      <c r="B4" s="71" t="s">
        <v>401</v>
      </c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63"/>
      <c r="P4" s="63"/>
      <c r="Q4" s="63"/>
      <c r="R4" s="63"/>
      <c r="S4" s="63"/>
      <c r="U4" s="72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70"/>
      <c r="AI4" s="70"/>
      <c r="AJ4" s="70"/>
      <c r="AK4" s="70"/>
    </row>
    <row r="5" spans="1:42" ht="25.7" customHeight="1" x14ac:dyDescent="0.35">
      <c r="A5" s="110"/>
      <c r="B5" s="71" t="s">
        <v>402</v>
      </c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63"/>
      <c r="P5" s="63"/>
      <c r="Q5" s="63"/>
      <c r="R5" s="63"/>
      <c r="S5" s="63"/>
      <c r="U5" s="72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70"/>
      <c r="AI5" s="70"/>
      <c r="AJ5" s="70"/>
      <c r="AK5" s="70"/>
    </row>
    <row r="6" spans="1:42" s="49" customFormat="1" ht="22.35" customHeight="1" x14ac:dyDescent="0.35">
      <c r="A6" s="109" t="str">
        <f>IF(COUNTIF(C6:I6,"P")=0,"",COUNTIF(C6:I6,"P"))</f>
        <v/>
      </c>
      <c r="B6" s="113">
        <f>IF(AND(IF(F6="P",1,"")=1,M6=""),"",1)</f>
        <v>1</v>
      </c>
      <c r="C6" s="121" t="str">
        <f>IF(CONTROLS!$I$2=TRUE,"P","")</f>
        <v/>
      </c>
      <c r="D6" s="63" t="s">
        <v>71</v>
      </c>
      <c r="E6" s="72"/>
      <c r="F6" s="121" t="str">
        <f>IF(CONTROLS!$I$3=TRUE,"P","")</f>
        <v/>
      </c>
      <c r="G6" s="63" t="s">
        <v>403</v>
      </c>
      <c r="H6" s="72"/>
      <c r="I6" s="72"/>
      <c r="J6" s="72"/>
      <c r="M6" s="337"/>
      <c r="N6" s="337"/>
      <c r="O6" s="337"/>
      <c r="P6" s="337"/>
      <c r="Q6" s="337"/>
      <c r="R6" s="337"/>
      <c r="S6" s="337"/>
      <c r="T6" s="337"/>
      <c r="U6" s="337"/>
      <c r="V6" s="337"/>
      <c r="W6" s="337"/>
      <c r="X6" s="337"/>
      <c r="Y6" s="337"/>
      <c r="Z6" s="337"/>
      <c r="AA6" s="337"/>
      <c r="AB6" s="337"/>
      <c r="AC6" s="337"/>
      <c r="AD6" s="337"/>
      <c r="AE6" s="337"/>
      <c r="AF6" s="337"/>
      <c r="AG6" s="337"/>
      <c r="AH6" s="337"/>
      <c r="AI6" s="337"/>
      <c r="AJ6" s="337"/>
      <c r="AK6" s="337"/>
      <c r="AO6" s="44"/>
      <c r="AP6" s="44"/>
    </row>
    <row r="7" spans="1:42" s="49" customFormat="1" ht="22.35" customHeight="1" x14ac:dyDescent="0.4">
      <c r="A7" s="108"/>
      <c r="B7" s="55"/>
      <c r="C7" s="44"/>
      <c r="D7" s="53"/>
      <c r="E7" s="72"/>
      <c r="F7" s="63"/>
      <c r="G7" s="72"/>
      <c r="H7" s="72"/>
      <c r="I7" s="72"/>
      <c r="J7" s="72"/>
      <c r="O7" s="28"/>
      <c r="P7" s="63"/>
      <c r="Q7" s="72"/>
      <c r="R7" s="44"/>
      <c r="S7" s="44"/>
      <c r="T7" s="44"/>
      <c r="V7" s="28"/>
      <c r="W7" s="63"/>
      <c r="X7" s="44"/>
      <c r="Y7" s="44"/>
      <c r="Z7" s="44"/>
      <c r="AA7" s="44"/>
      <c r="AC7" s="28"/>
      <c r="AD7" s="63"/>
      <c r="AE7" s="44"/>
      <c r="AF7" s="44"/>
      <c r="AG7" s="44"/>
      <c r="AH7" s="44"/>
    </row>
    <row r="8" spans="1:42" ht="21" customHeight="1" x14ac:dyDescent="0.35">
      <c r="B8" s="44"/>
      <c r="C8" s="334" t="s">
        <v>404</v>
      </c>
      <c r="D8" s="334"/>
      <c r="E8" s="334"/>
      <c r="F8" s="334"/>
      <c r="G8" s="334"/>
      <c r="H8" s="334"/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63" t="s">
        <v>2</v>
      </c>
      <c r="AB8" s="63"/>
      <c r="AC8" s="335"/>
      <c r="AD8" s="335"/>
      <c r="AE8" s="335"/>
      <c r="AF8" s="335"/>
      <c r="AG8" s="335"/>
      <c r="AH8" s="335"/>
      <c r="AI8" s="335"/>
      <c r="AJ8" s="335"/>
      <c r="AK8" s="335"/>
    </row>
    <row r="9" spans="1:42" s="46" customFormat="1" ht="28.35" customHeight="1" x14ac:dyDescent="0.35">
      <c r="B9" s="69"/>
      <c r="C9" s="63" t="s">
        <v>405</v>
      </c>
      <c r="D9" s="63"/>
      <c r="E9" s="72"/>
      <c r="F9" s="28"/>
      <c r="G9" s="63"/>
      <c r="H9" s="44"/>
      <c r="I9" s="49"/>
      <c r="L9" s="28"/>
      <c r="M9" s="63"/>
      <c r="N9" s="44"/>
      <c r="O9" s="44"/>
      <c r="P9" s="336"/>
      <c r="Q9" s="336"/>
      <c r="R9" s="336"/>
      <c r="S9" s="336"/>
      <c r="T9" s="336"/>
      <c r="U9" s="336"/>
      <c r="V9" s="336"/>
      <c r="W9" s="336"/>
      <c r="X9" s="336"/>
      <c r="Y9" s="336"/>
      <c r="Z9" s="336"/>
      <c r="AA9" s="336"/>
      <c r="AB9" s="336"/>
      <c r="AC9" s="336"/>
      <c r="AD9" s="336"/>
      <c r="AE9" s="336"/>
      <c r="AF9" s="336"/>
      <c r="AG9" s="336"/>
      <c r="AH9" s="336"/>
      <c r="AI9" s="336"/>
      <c r="AJ9" s="336"/>
      <c r="AK9" s="336"/>
    </row>
    <row r="10" spans="1:42" ht="21.6" customHeight="1" x14ac:dyDescent="0.35">
      <c r="B10" s="71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63"/>
      <c r="P10" s="63"/>
      <c r="Q10" s="63"/>
      <c r="R10" s="63"/>
      <c r="S10" s="63"/>
      <c r="U10" s="72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70"/>
      <c r="AI10" s="70"/>
      <c r="AJ10" s="70"/>
      <c r="AK10" s="70"/>
    </row>
    <row r="11" spans="1:42" ht="21" customHeight="1" x14ac:dyDescent="0.35">
      <c r="B11" s="76"/>
      <c r="D11" s="72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63"/>
      <c r="P11" s="63"/>
      <c r="Q11" s="63"/>
      <c r="R11" s="63"/>
      <c r="S11" s="63"/>
      <c r="U11" s="72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70"/>
      <c r="AI11" s="70"/>
      <c r="AJ11" s="70"/>
      <c r="AK11" s="70"/>
    </row>
    <row r="12" spans="1:42" ht="21" customHeight="1" x14ac:dyDescent="0.35">
      <c r="B12" s="67"/>
      <c r="C12" s="63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63"/>
      <c r="P12" s="63"/>
      <c r="Q12" s="63"/>
      <c r="R12" s="63"/>
      <c r="S12" s="63"/>
      <c r="U12" s="72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70"/>
      <c r="AI12" s="70"/>
      <c r="AJ12" s="70"/>
      <c r="AK12" s="70"/>
    </row>
    <row r="13" spans="1:42" ht="22.7" customHeight="1" x14ac:dyDescent="0.4">
      <c r="B13" s="55"/>
      <c r="D13" s="53"/>
      <c r="E13" s="72"/>
      <c r="F13" s="63"/>
      <c r="G13" s="72"/>
      <c r="H13" s="72"/>
      <c r="I13" s="72"/>
      <c r="J13" s="72"/>
      <c r="K13" s="72"/>
      <c r="L13" s="72"/>
      <c r="M13" s="72"/>
      <c r="N13" s="72"/>
      <c r="O13" s="63"/>
      <c r="P13" s="63"/>
      <c r="Q13" s="63"/>
      <c r="R13" s="63"/>
      <c r="S13" s="63"/>
      <c r="U13" s="72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70"/>
      <c r="AI13" s="70"/>
      <c r="AJ13" s="70"/>
      <c r="AK13" s="70"/>
    </row>
    <row r="14" spans="1:42" ht="22.7" customHeight="1" x14ac:dyDescent="0.4">
      <c r="B14" s="55"/>
      <c r="D14" s="53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63"/>
      <c r="P14" s="63"/>
      <c r="Q14" s="63"/>
      <c r="R14" s="63"/>
      <c r="S14" s="63"/>
      <c r="U14" s="72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70"/>
      <c r="AI14" s="70"/>
      <c r="AJ14" s="70"/>
      <c r="AK14" s="70"/>
    </row>
    <row r="15" spans="1:42" ht="22.7" customHeight="1" x14ac:dyDescent="0.4">
      <c r="B15" s="55"/>
      <c r="D15" s="53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63"/>
      <c r="P15" s="63"/>
      <c r="Q15" s="63"/>
      <c r="R15" s="63"/>
      <c r="S15" s="63"/>
      <c r="U15" s="72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70"/>
      <c r="AI15" s="70"/>
      <c r="AJ15" s="70"/>
      <c r="AK15" s="70"/>
    </row>
    <row r="16" spans="1:42" ht="21.6" customHeight="1" x14ac:dyDescent="0.4">
      <c r="B16" s="55"/>
      <c r="C16" s="53"/>
      <c r="D16" s="53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63"/>
      <c r="P16" s="63"/>
      <c r="Q16" s="63"/>
      <c r="R16" s="63"/>
      <c r="S16" s="63"/>
      <c r="U16" s="72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70"/>
      <c r="AI16" s="70"/>
      <c r="AJ16" s="70"/>
      <c r="AK16" s="70"/>
    </row>
    <row r="17" spans="2:37" ht="21.6" customHeight="1" x14ac:dyDescent="0.4">
      <c r="B17" s="55"/>
      <c r="C17" s="72"/>
      <c r="D17" s="53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63"/>
      <c r="P17" s="63"/>
      <c r="Q17" s="63"/>
      <c r="R17" s="63"/>
      <c r="S17" s="63"/>
      <c r="U17" s="72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70"/>
      <c r="AI17" s="70"/>
      <c r="AJ17" s="70"/>
      <c r="AK17" s="70"/>
    </row>
    <row r="18" spans="2:37" ht="21.6" customHeight="1" x14ac:dyDescent="0.4">
      <c r="B18" s="55"/>
      <c r="C18" s="53"/>
      <c r="D18" s="53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63"/>
      <c r="P18" s="63"/>
      <c r="Q18" s="63"/>
      <c r="R18" s="63"/>
      <c r="S18" s="63"/>
      <c r="U18" s="72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70"/>
      <c r="AI18" s="70"/>
      <c r="AJ18" s="70"/>
      <c r="AK18" s="70"/>
    </row>
    <row r="19" spans="2:37" ht="21.6" customHeight="1" x14ac:dyDescent="0.4">
      <c r="B19" s="55"/>
      <c r="C19" s="53"/>
      <c r="D19" s="53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63"/>
      <c r="P19" s="63"/>
      <c r="Q19" s="63"/>
      <c r="R19" s="99"/>
      <c r="S19" s="99"/>
      <c r="T19" s="100"/>
      <c r="U19" s="99"/>
      <c r="V19" s="99"/>
      <c r="W19" s="99"/>
      <c r="X19" s="99"/>
      <c r="Y19" s="63"/>
      <c r="Z19" s="63"/>
      <c r="AA19" s="63"/>
      <c r="AB19" s="63"/>
      <c r="AC19" s="63"/>
      <c r="AD19" s="63"/>
      <c r="AE19" s="63"/>
      <c r="AF19" s="63"/>
      <c r="AG19" s="63"/>
      <c r="AH19" s="70"/>
      <c r="AI19" s="70"/>
      <c r="AJ19" s="70"/>
      <c r="AK19" s="70"/>
    </row>
    <row r="20" spans="2:37" ht="21.6" customHeight="1" x14ac:dyDescent="0.4">
      <c r="B20" s="55"/>
      <c r="C20" s="53"/>
      <c r="D20" s="53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63"/>
      <c r="P20" s="63"/>
      <c r="Q20" s="63"/>
      <c r="R20" s="99"/>
      <c r="S20" s="99"/>
      <c r="T20" s="100"/>
      <c r="U20" s="99"/>
      <c r="V20" s="99"/>
      <c r="W20" s="99"/>
      <c r="X20" s="99"/>
      <c r="Y20" s="63"/>
      <c r="Z20" s="63"/>
      <c r="AA20" s="63"/>
      <c r="AB20" s="63"/>
      <c r="AC20" s="63"/>
      <c r="AD20" s="63"/>
      <c r="AE20" s="63"/>
      <c r="AF20" s="63"/>
      <c r="AG20" s="63"/>
      <c r="AH20" s="70"/>
      <c r="AI20" s="70"/>
      <c r="AJ20" s="70"/>
      <c r="AK20" s="70"/>
    </row>
    <row r="21" spans="2:37" ht="21.6" customHeight="1" x14ac:dyDescent="0.4">
      <c r="B21" s="55"/>
      <c r="D21" s="73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7"/>
      <c r="S21" s="77"/>
      <c r="T21" s="77"/>
      <c r="U21" s="77"/>
      <c r="V21" s="102"/>
      <c r="W21" s="102"/>
      <c r="X21" s="102"/>
      <c r="Y21" s="77"/>
      <c r="Z21" s="77"/>
      <c r="AA21" s="77"/>
      <c r="AB21" s="77"/>
      <c r="AC21" s="77"/>
      <c r="AD21" s="77"/>
      <c r="AE21" s="77"/>
      <c r="AF21" s="77"/>
      <c r="AG21" s="77"/>
      <c r="AH21" s="77"/>
      <c r="AI21" s="77"/>
      <c r="AJ21" s="77"/>
      <c r="AK21" s="77"/>
    </row>
    <row r="22" spans="2:37" ht="21.6" customHeight="1" x14ac:dyDescent="0.4">
      <c r="B22" s="55"/>
      <c r="D22" s="73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102"/>
      <c r="R22" s="102"/>
      <c r="S22" s="102"/>
      <c r="T22" s="102"/>
      <c r="U22" s="102"/>
      <c r="V22" s="102"/>
      <c r="W22" s="102"/>
      <c r="X22" s="102"/>
      <c r="Y22" s="77"/>
      <c r="Z22" s="77"/>
      <c r="AA22" s="77"/>
      <c r="AB22" s="77"/>
      <c r="AC22" s="77"/>
      <c r="AD22" s="77"/>
      <c r="AE22" s="77"/>
      <c r="AF22" s="77"/>
      <c r="AG22" s="77"/>
      <c r="AH22" s="77"/>
      <c r="AI22" s="77"/>
      <c r="AJ22" s="77"/>
      <c r="AK22" s="77"/>
    </row>
    <row r="23" spans="2:37" ht="21.6" customHeight="1" x14ac:dyDescent="0.4">
      <c r="B23" s="55"/>
      <c r="C23" s="28"/>
      <c r="D23" s="63"/>
      <c r="E23" s="78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28"/>
      <c r="S23" s="63"/>
      <c r="T23" s="77"/>
      <c r="U23" s="77"/>
      <c r="V23" s="77"/>
      <c r="W23" s="77"/>
      <c r="X23" s="77"/>
      <c r="Y23" s="77"/>
      <c r="Z23" s="77"/>
      <c r="AA23" s="77"/>
      <c r="AB23" s="77"/>
      <c r="AC23" s="77"/>
      <c r="AD23" s="77"/>
      <c r="AE23" s="77"/>
      <c r="AF23" s="77"/>
      <c r="AG23" s="77"/>
      <c r="AH23" s="77"/>
      <c r="AI23" s="77"/>
      <c r="AJ23" s="77"/>
      <c r="AK23" s="77"/>
    </row>
    <row r="24" spans="2:37" ht="21.6" customHeight="1" x14ac:dyDescent="0.35">
      <c r="B24" s="67"/>
      <c r="D24" s="72"/>
      <c r="E24" s="78"/>
      <c r="F24" s="72"/>
      <c r="G24" s="72"/>
      <c r="H24" s="72"/>
      <c r="I24" s="72"/>
      <c r="J24" s="72"/>
      <c r="K24" s="72"/>
      <c r="L24" s="72"/>
      <c r="M24" s="72"/>
      <c r="N24" s="72"/>
      <c r="O24" s="63"/>
      <c r="P24" s="63"/>
      <c r="Q24" s="63"/>
      <c r="R24" s="63"/>
      <c r="S24" s="63"/>
      <c r="U24" s="72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70"/>
      <c r="AI24" s="70"/>
      <c r="AJ24" s="70"/>
      <c r="AK24" s="70"/>
    </row>
    <row r="25" spans="2:37" ht="24" customHeight="1" x14ac:dyDescent="0.4">
      <c r="B25" s="55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97"/>
      <c r="AJ25" s="97"/>
      <c r="AK25" s="97"/>
    </row>
    <row r="26" spans="2:37" ht="31.7" customHeight="1" x14ac:dyDescent="0.4">
      <c r="B26" s="55"/>
      <c r="C26" s="331"/>
      <c r="D26" s="331"/>
      <c r="E26" s="331"/>
      <c r="F26" s="331"/>
      <c r="G26" s="331"/>
      <c r="H26" s="331"/>
      <c r="I26" s="331"/>
      <c r="J26" s="331"/>
      <c r="K26" s="331"/>
      <c r="L26" s="331"/>
      <c r="M26" s="331"/>
      <c r="N26" s="331"/>
      <c r="O26" s="331"/>
      <c r="P26" s="331"/>
      <c r="Q26" s="331"/>
      <c r="R26" s="331"/>
      <c r="S26" s="331"/>
      <c r="T26" s="331"/>
      <c r="U26" s="331"/>
      <c r="V26" s="332"/>
      <c r="W26" s="332"/>
      <c r="X26" s="332"/>
      <c r="Y26" s="332"/>
      <c r="Z26" s="332"/>
      <c r="AA26" s="332"/>
      <c r="AB26" s="332"/>
      <c r="AC26" s="332"/>
      <c r="AD26" s="332"/>
      <c r="AE26" s="332"/>
      <c r="AF26" s="332"/>
      <c r="AG26" s="332"/>
      <c r="AH26" s="332"/>
      <c r="AI26" s="332"/>
      <c r="AJ26" s="332"/>
      <c r="AK26" s="332"/>
    </row>
    <row r="27" spans="2:37" ht="9" customHeight="1" x14ac:dyDescent="0.4">
      <c r="B27" s="55"/>
      <c r="D27" s="73"/>
      <c r="E27" s="75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  <c r="AH27" s="77"/>
      <c r="AI27" s="77"/>
      <c r="AJ27" s="77"/>
      <c r="AK27" s="77"/>
    </row>
    <row r="28" spans="2:37" ht="21" customHeight="1" x14ac:dyDescent="0.35">
      <c r="B28" s="5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63"/>
      <c r="P28" s="63"/>
      <c r="Q28" s="63"/>
      <c r="R28" s="63"/>
      <c r="S28" s="63"/>
      <c r="U28" s="72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70"/>
      <c r="AI28" s="70"/>
      <c r="AJ28" s="70"/>
      <c r="AK28" s="70"/>
    </row>
    <row r="29" spans="2:37" ht="21.6" customHeight="1" x14ac:dyDescent="0.4">
      <c r="B29" s="55"/>
      <c r="C29" s="28"/>
      <c r="D29" s="63"/>
      <c r="E29" s="79"/>
      <c r="F29" s="28"/>
      <c r="G29" s="63"/>
      <c r="H29" s="72"/>
      <c r="I29" s="72"/>
      <c r="J29" s="72"/>
      <c r="K29" s="72"/>
      <c r="L29" s="72"/>
      <c r="M29" s="72"/>
      <c r="N29" s="72"/>
      <c r="O29" s="63"/>
      <c r="P29" s="63"/>
      <c r="Q29" s="63"/>
      <c r="R29" s="63"/>
      <c r="S29" s="63"/>
      <c r="U29" s="72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70"/>
      <c r="AI29" s="70"/>
      <c r="AJ29" s="70"/>
      <c r="AK29" s="70"/>
    </row>
    <row r="30" spans="2:37" ht="21" customHeight="1" x14ac:dyDescent="0.35">
      <c r="B30" s="5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63"/>
      <c r="P30" s="63"/>
      <c r="Q30" s="63"/>
      <c r="R30" s="63"/>
      <c r="S30" s="63"/>
      <c r="U30" s="72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70"/>
      <c r="AI30" s="70"/>
      <c r="AJ30" s="70"/>
      <c r="AK30" s="70"/>
    </row>
    <row r="31" spans="2:37" ht="21.6" customHeight="1" x14ac:dyDescent="0.4">
      <c r="B31" s="55"/>
      <c r="C31" s="28"/>
      <c r="D31" s="63"/>
      <c r="E31" s="79"/>
      <c r="F31" s="28"/>
      <c r="G31" s="63"/>
      <c r="H31" s="72"/>
      <c r="I31" s="72"/>
      <c r="J31" s="72"/>
      <c r="K31" s="72"/>
      <c r="L31" s="72"/>
      <c r="M31" s="72"/>
      <c r="N31" s="72"/>
      <c r="O31" s="63"/>
      <c r="P31" s="63"/>
      <c r="Q31" s="63"/>
      <c r="R31" s="63"/>
      <c r="S31" s="63"/>
      <c r="U31" s="72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70"/>
      <c r="AI31" s="70"/>
      <c r="AJ31" s="70"/>
      <c r="AK31" s="70"/>
    </row>
    <row r="32" spans="2:37" ht="21" customHeight="1" x14ac:dyDescent="0.35">
      <c r="B32" s="5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63"/>
      <c r="P32" s="63"/>
      <c r="Q32" s="63"/>
      <c r="R32" s="63"/>
      <c r="S32" s="63"/>
      <c r="U32" s="72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70"/>
      <c r="AI32" s="70"/>
      <c r="AJ32" s="70"/>
      <c r="AK32" s="70"/>
    </row>
    <row r="33" spans="2:37" ht="21.6" customHeight="1" x14ac:dyDescent="0.4">
      <c r="B33" s="55"/>
      <c r="C33" s="28"/>
      <c r="D33" s="63"/>
      <c r="E33" s="79"/>
      <c r="F33" s="28"/>
      <c r="G33" s="63"/>
      <c r="H33" s="72"/>
      <c r="I33" s="72"/>
      <c r="J33" s="72"/>
      <c r="K33" s="72"/>
      <c r="L33" s="72"/>
      <c r="M33" s="72"/>
      <c r="N33" s="72"/>
      <c r="O33" s="63"/>
      <c r="P33" s="63"/>
      <c r="Q33" s="63"/>
      <c r="R33" s="63"/>
      <c r="S33" s="63"/>
      <c r="U33" s="72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70"/>
      <c r="AI33" s="70"/>
      <c r="AJ33" s="70"/>
      <c r="AK33" s="70"/>
    </row>
    <row r="34" spans="2:37" ht="21" customHeight="1" x14ac:dyDescent="0.35">
      <c r="B34" s="5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63"/>
      <c r="P34" s="63"/>
      <c r="Q34" s="63"/>
      <c r="R34" s="63"/>
      <c r="S34" s="63"/>
      <c r="U34" s="72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70"/>
      <c r="AI34" s="70"/>
      <c r="AJ34" s="70"/>
      <c r="AK34" s="70"/>
    </row>
    <row r="35" spans="2:37" ht="21.6" customHeight="1" x14ac:dyDescent="0.4">
      <c r="B35" s="55"/>
      <c r="C35" s="28"/>
      <c r="D35" s="63"/>
      <c r="E35" s="79"/>
      <c r="F35" s="28"/>
      <c r="G35" s="63"/>
      <c r="H35" s="72"/>
      <c r="I35" s="72"/>
      <c r="J35" s="72"/>
      <c r="K35" s="72"/>
      <c r="L35" s="72"/>
      <c r="M35" s="72"/>
      <c r="N35" s="72"/>
      <c r="O35" s="63"/>
      <c r="P35" s="63"/>
      <c r="Q35" s="63"/>
      <c r="R35" s="63"/>
      <c r="S35" s="63"/>
      <c r="U35" s="72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70"/>
      <c r="AI35" s="70"/>
      <c r="AJ35" s="70"/>
      <c r="AK35" s="70"/>
    </row>
    <row r="36" spans="2:37" s="49" customFormat="1" ht="21.6" customHeight="1" x14ac:dyDescent="0.35">
      <c r="C36" s="63"/>
      <c r="D36" s="53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63"/>
      <c r="P36" s="63"/>
      <c r="Q36" s="63"/>
    </row>
    <row r="37" spans="2:37" ht="21" customHeight="1" x14ac:dyDescent="0.35">
      <c r="B37" s="5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63"/>
      <c r="P37" s="63"/>
      <c r="Q37" s="63"/>
      <c r="R37" s="63"/>
      <c r="S37" s="63"/>
      <c r="U37" s="72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70"/>
      <c r="AI37" s="70"/>
      <c r="AJ37" s="70"/>
      <c r="AK37" s="70"/>
    </row>
    <row r="38" spans="2:37" ht="21.6" customHeight="1" x14ac:dyDescent="0.4">
      <c r="B38" s="55"/>
      <c r="C38" s="28"/>
      <c r="D38" s="63"/>
      <c r="E38" s="79"/>
      <c r="F38" s="28"/>
      <c r="G38" s="63"/>
      <c r="H38" s="72"/>
      <c r="I38" s="72"/>
      <c r="J38" s="72"/>
      <c r="K38" s="72"/>
      <c r="L38" s="72"/>
      <c r="M38" s="72"/>
      <c r="N38" s="72"/>
      <c r="O38" s="63"/>
      <c r="P38" s="63"/>
      <c r="Q38" s="63"/>
      <c r="R38" s="63"/>
      <c r="S38" s="63"/>
      <c r="U38" s="72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70"/>
      <c r="AI38" s="70"/>
      <c r="AJ38" s="70"/>
      <c r="AK38" s="70"/>
    </row>
    <row r="39" spans="2:37" s="49" customFormat="1" ht="21.6" customHeight="1" x14ac:dyDescent="0.35">
      <c r="B39" s="67"/>
      <c r="C39" s="63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63"/>
      <c r="P39" s="63"/>
      <c r="Q39" s="63"/>
    </row>
    <row r="40" spans="2:37" ht="21" customHeight="1" x14ac:dyDescent="0.35">
      <c r="B40" s="5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63"/>
      <c r="P40" s="63"/>
      <c r="Q40" s="63"/>
      <c r="R40" s="63"/>
      <c r="S40" s="63"/>
      <c r="U40" s="72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70"/>
      <c r="AI40" s="70"/>
      <c r="AJ40" s="70"/>
      <c r="AK40" s="70"/>
    </row>
    <row r="41" spans="2:37" ht="21.6" customHeight="1" x14ac:dyDescent="0.4">
      <c r="B41" s="55"/>
      <c r="C41" s="28"/>
      <c r="D41" s="63"/>
      <c r="E41" s="79"/>
      <c r="F41" s="28"/>
      <c r="G41" s="63"/>
      <c r="H41" s="72"/>
      <c r="I41" s="72"/>
      <c r="J41" s="72"/>
      <c r="K41" s="72"/>
      <c r="L41" s="72"/>
      <c r="M41" s="72"/>
      <c r="N41" s="72"/>
      <c r="O41" s="63"/>
      <c r="P41" s="63"/>
      <c r="Q41" s="63"/>
      <c r="R41" s="63"/>
      <c r="S41" s="63"/>
      <c r="U41" s="72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70"/>
      <c r="AI41" s="70"/>
      <c r="AJ41" s="70"/>
      <c r="AK41" s="70"/>
    </row>
    <row r="42" spans="2:37" s="49" customFormat="1" ht="18" customHeight="1" x14ac:dyDescent="0.35">
      <c r="B42" s="67"/>
      <c r="C42" s="44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63"/>
      <c r="P42" s="63"/>
      <c r="Q42" s="63"/>
    </row>
    <row r="43" spans="2:37" x14ac:dyDescent="0.35">
      <c r="B43" s="71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63"/>
      <c r="P43" s="63"/>
      <c r="Q43" s="63"/>
      <c r="R43" s="63"/>
      <c r="S43" s="63"/>
      <c r="U43" s="72"/>
      <c r="V43" s="63"/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70"/>
      <c r="AI43" s="70"/>
      <c r="AJ43" s="70"/>
      <c r="AK43" s="70"/>
    </row>
    <row r="44" spans="2:37" ht="26.45" customHeight="1" x14ac:dyDescent="0.35">
      <c r="B44" s="98"/>
      <c r="C44" s="80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63"/>
      <c r="P44" s="63"/>
      <c r="Q44" s="63"/>
      <c r="R44" s="63"/>
      <c r="S44" s="63"/>
      <c r="U44" s="72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70"/>
      <c r="AI44" s="70"/>
      <c r="AJ44" s="70"/>
      <c r="AK44" s="70"/>
    </row>
    <row r="45" spans="2:37" s="46" customFormat="1" ht="43.35" customHeight="1" x14ac:dyDescent="0.35">
      <c r="B45" s="69"/>
      <c r="C45" s="330"/>
      <c r="D45" s="330"/>
      <c r="E45" s="330"/>
      <c r="F45" s="330"/>
      <c r="G45" s="330"/>
      <c r="H45" s="330"/>
      <c r="I45" s="330"/>
      <c r="J45" s="330"/>
      <c r="K45" s="330"/>
      <c r="L45" s="330"/>
      <c r="M45" s="330"/>
      <c r="N45" s="330"/>
      <c r="O45" s="330"/>
      <c r="P45" s="330"/>
      <c r="Q45" s="330"/>
      <c r="R45" s="330"/>
      <c r="S45" s="330"/>
      <c r="T45" s="330"/>
      <c r="U45" s="330"/>
      <c r="V45" s="330"/>
      <c r="W45" s="330"/>
      <c r="X45" s="330"/>
      <c r="Y45" s="330"/>
      <c r="Z45" s="330"/>
      <c r="AA45" s="330"/>
      <c r="AB45" s="330"/>
      <c r="AC45" s="330"/>
      <c r="AD45" s="330"/>
      <c r="AE45" s="330"/>
      <c r="AF45" s="330"/>
      <c r="AG45" s="330"/>
      <c r="AH45" s="330"/>
      <c r="AI45" s="330"/>
      <c r="AJ45" s="330"/>
      <c r="AK45" s="330"/>
    </row>
    <row r="46" spans="2:37" s="49" customFormat="1" ht="43.35" customHeight="1" x14ac:dyDescent="0.35">
      <c r="B46" s="67"/>
      <c r="C46" s="330"/>
      <c r="D46" s="330"/>
      <c r="E46" s="330"/>
      <c r="F46" s="330"/>
      <c r="G46" s="330"/>
      <c r="H46" s="330"/>
      <c r="I46" s="330"/>
      <c r="J46" s="330"/>
      <c r="K46" s="330"/>
      <c r="L46" s="330"/>
      <c r="M46" s="330"/>
      <c r="N46" s="330"/>
      <c r="O46" s="330"/>
      <c r="P46" s="330"/>
      <c r="Q46" s="330"/>
      <c r="R46" s="330"/>
      <c r="S46" s="330"/>
      <c r="T46" s="330"/>
      <c r="U46" s="330"/>
      <c r="V46" s="330"/>
      <c r="W46" s="330"/>
      <c r="X46" s="330"/>
      <c r="Y46" s="330"/>
      <c r="Z46" s="330"/>
      <c r="AA46" s="330"/>
      <c r="AB46" s="330"/>
      <c r="AC46" s="330"/>
      <c r="AD46" s="330"/>
      <c r="AE46" s="330"/>
      <c r="AF46" s="330"/>
      <c r="AG46" s="330"/>
      <c r="AH46" s="330"/>
      <c r="AI46" s="330"/>
      <c r="AJ46" s="330"/>
      <c r="AK46" s="330"/>
    </row>
    <row r="47" spans="2:37" s="49" customFormat="1" ht="43.35" customHeight="1" x14ac:dyDescent="0.4">
      <c r="B47" s="55"/>
      <c r="C47" s="330"/>
      <c r="D47" s="330"/>
      <c r="E47" s="330"/>
      <c r="F47" s="330"/>
      <c r="G47" s="330"/>
      <c r="H47" s="330"/>
      <c r="I47" s="330"/>
      <c r="J47" s="330"/>
      <c r="K47" s="330"/>
      <c r="L47" s="330"/>
      <c r="M47" s="330"/>
      <c r="N47" s="330"/>
      <c r="O47" s="330"/>
      <c r="P47" s="330"/>
      <c r="Q47" s="330"/>
      <c r="R47" s="330"/>
      <c r="S47" s="330"/>
      <c r="T47" s="330"/>
      <c r="U47" s="330"/>
      <c r="V47" s="330"/>
      <c r="W47" s="330"/>
      <c r="X47" s="330"/>
      <c r="Y47" s="330"/>
      <c r="Z47" s="330"/>
      <c r="AA47" s="330"/>
      <c r="AB47" s="330"/>
      <c r="AC47" s="330"/>
      <c r="AD47" s="330"/>
      <c r="AE47" s="330"/>
      <c r="AF47" s="330"/>
      <c r="AG47" s="330"/>
      <c r="AH47" s="330"/>
      <c r="AI47" s="330"/>
      <c r="AJ47" s="330"/>
      <c r="AK47" s="330"/>
    </row>
    <row r="48" spans="2:37" s="49" customFormat="1" ht="43.35" customHeight="1" x14ac:dyDescent="0.4">
      <c r="B48" s="55"/>
      <c r="C48" s="330"/>
      <c r="D48" s="330"/>
      <c r="E48" s="330"/>
      <c r="F48" s="330"/>
      <c r="G48" s="330"/>
      <c r="H48" s="330"/>
      <c r="I48" s="330"/>
      <c r="J48" s="330"/>
      <c r="K48" s="330"/>
      <c r="L48" s="330"/>
      <c r="M48" s="330"/>
      <c r="N48" s="330"/>
      <c r="O48" s="330"/>
      <c r="P48" s="330"/>
      <c r="Q48" s="330"/>
      <c r="R48" s="330"/>
      <c r="S48" s="330"/>
      <c r="T48" s="330"/>
      <c r="U48" s="330"/>
      <c r="V48" s="330"/>
      <c r="W48" s="330"/>
      <c r="X48" s="330"/>
      <c r="Y48" s="330"/>
      <c r="Z48" s="330"/>
      <c r="AA48" s="330"/>
      <c r="AB48" s="330"/>
      <c r="AC48" s="330"/>
      <c r="AD48" s="330"/>
      <c r="AE48" s="330"/>
      <c r="AF48" s="330"/>
      <c r="AG48" s="330"/>
      <c r="AH48" s="330"/>
      <c r="AI48" s="330"/>
      <c r="AJ48" s="330"/>
      <c r="AK48" s="330"/>
    </row>
    <row r="49" spans="2:43" s="49" customFormat="1" ht="43.35" customHeight="1" x14ac:dyDescent="0.35">
      <c r="B49" s="67"/>
      <c r="C49" s="330"/>
      <c r="D49" s="330"/>
      <c r="E49" s="330"/>
      <c r="F49" s="330"/>
      <c r="G49" s="330"/>
      <c r="H49" s="330"/>
      <c r="I49" s="330"/>
      <c r="J49" s="330"/>
      <c r="K49" s="330"/>
      <c r="L49" s="330"/>
      <c r="M49" s="330"/>
      <c r="N49" s="330"/>
      <c r="O49" s="330"/>
      <c r="P49" s="330"/>
      <c r="Q49" s="330"/>
      <c r="R49" s="330"/>
      <c r="S49" s="330"/>
      <c r="T49" s="330"/>
      <c r="U49" s="330"/>
      <c r="V49" s="330"/>
      <c r="W49" s="330"/>
      <c r="X49" s="330"/>
      <c r="Y49" s="330"/>
      <c r="Z49" s="330"/>
      <c r="AA49" s="330"/>
      <c r="AB49" s="330"/>
      <c r="AC49" s="330"/>
      <c r="AD49" s="330"/>
      <c r="AE49" s="330"/>
      <c r="AF49" s="330"/>
      <c r="AG49" s="330"/>
      <c r="AH49" s="330"/>
      <c r="AI49" s="330"/>
      <c r="AJ49" s="330"/>
      <c r="AK49" s="330"/>
      <c r="AQ49" s="72"/>
    </row>
    <row r="50" spans="2:43" s="49" customFormat="1" ht="43.35" customHeight="1" x14ac:dyDescent="0.4">
      <c r="B50" s="55"/>
      <c r="C50" s="330"/>
      <c r="D50" s="330"/>
      <c r="E50" s="330"/>
      <c r="F50" s="330"/>
      <c r="G50" s="330"/>
      <c r="H50" s="330"/>
      <c r="I50" s="330"/>
      <c r="J50" s="330"/>
      <c r="K50" s="330"/>
      <c r="L50" s="330"/>
      <c r="M50" s="330"/>
      <c r="N50" s="330"/>
      <c r="O50" s="330"/>
      <c r="P50" s="330"/>
      <c r="Q50" s="330"/>
      <c r="R50" s="330"/>
      <c r="S50" s="330"/>
      <c r="T50" s="330"/>
      <c r="U50" s="330"/>
      <c r="V50" s="330"/>
      <c r="W50" s="330"/>
      <c r="X50" s="330"/>
      <c r="Y50" s="330"/>
      <c r="Z50" s="330"/>
      <c r="AA50" s="330"/>
      <c r="AB50" s="330"/>
      <c r="AC50" s="330"/>
      <c r="AD50" s="330"/>
      <c r="AE50" s="330"/>
      <c r="AF50" s="330"/>
      <c r="AG50" s="330"/>
      <c r="AH50" s="330"/>
      <c r="AI50" s="330"/>
      <c r="AJ50" s="330"/>
      <c r="AK50" s="330"/>
    </row>
    <row r="51" spans="2:43" s="49" customFormat="1" ht="43.35" customHeight="1" x14ac:dyDescent="0.4">
      <c r="B51" s="55"/>
      <c r="C51" s="330"/>
      <c r="D51" s="330"/>
      <c r="E51" s="330"/>
      <c r="F51" s="330"/>
      <c r="G51" s="330"/>
      <c r="H51" s="330"/>
      <c r="I51" s="330"/>
      <c r="J51" s="330"/>
      <c r="K51" s="330"/>
      <c r="L51" s="330"/>
      <c r="M51" s="330"/>
      <c r="N51" s="330"/>
      <c r="O51" s="330"/>
      <c r="P51" s="330"/>
      <c r="Q51" s="330"/>
      <c r="R51" s="330"/>
      <c r="S51" s="330"/>
      <c r="T51" s="330"/>
      <c r="U51" s="330"/>
      <c r="V51" s="330"/>
      <c r="W51" s="330"/>
      <c r="X51" s="330"/>
      <c r="Y51" s="330"/>
      <c r="Z51" s="330"/>
      <c r="AA51" s="330"/>
      <c r="AB51" s="330"/>
      <c r="AC51" s="330"/>
      <c r="AD51" s="330"/>
      <c r="AE51" s="330"/>
      <c r="AF51" s="330"/>
      <c r="AG51" s="330"/>
      <c r="AH51" s="330"/>
      <c r="AI51" s="330"/>
      <c r="AJ51" s="330"/>
      <c r="AK51" s="330"/>
    </row>
    <row r="52" spans="2:43" s="49" customFormat="1" ht="43.35" customHeight="1" x14ac:dyDescent="0.4">
      <c r="B52" s="55"/>
      <c r="C52" s="330"/>
      <c r="D52" s="330"/>
      <c r="E52" s="330"/>
      <c r="F52" s="330"/>
      <c r="G52" s="330"/>
      <c r="H52" s="330"/>
      <c r="I52" s="330"/>
      <c r="J52" s="330"/>
      <c r="K52" s="330"/>
      <c r="L52" s="330"/>
      <c r="M52" s="330"/>
      <c r="N52" s="330"/>
      <c r="O52" s="330"/>
      <c r="P52" s="330"/>
      <c r="Q52" s="330"/>
      <c r="R52" s="330"/>
      <c r="S52" s="330"/>
      <c r="T52" s="330"/>
      <c r="U52" s="330"/>
      <c r="V52" s="330"/>
      <c r="W52" s="330"/>
      <c r="X52" s="330"/>
      <c r="Y52" s="330"/>
      <c r="Z52" s="330"/>
      <c r="AA52" s="330"/>
      <c r="AB52" s="330"/>
      <c r="AC52" s="330"/>
      <c r="AD52" s="330"/>
      <c r="AE52" s="330"/>
      <c r="AF52" s="330"/>
      <c r="AG52" s="330"/>
      <c r="AH52" s="330"/>
      <c r="AI52" s="330"/>
      <c r="AJ52" s="330"/>
      <c r="AK52" s="330"/>
    </row>
    <row r="53" spans="2:43" s="49" customFormat="1" ht="43.35" customHeight="1" x14ac:dyDescent="0.4">
      <c r="B53" s="55"/>
      <c r="C53" s="330"/>
      <c r="D53" s="330"/>
      <c r="E53" s="330"/>
      <c r="F53" s="330"/>
      <c r="G53" s="330"/>
      <c r="H53" s="330"/>
      <c r="I53" s="330"/>
      <c r="J53" s="330"/>
      <c r="K53" s="330"/>
      <c r="L53" s="330"/>
      <c r="M53" s="330"/>
      <c r="N53" s="330"/>
      <c r="O53" s="330"/>
      <c r="P53" s="330"/>
      <c r="Q53" s="330"/>
      <c r="R53" s="330"/>
      <c r="S53" s="330"/>
      <c r="T53" s="330"/>
      <c r="U53" s="330"/>
      <c r="V53" s="330"/>
      <c r="W53" s="330"/>
      <c r="X53" s="330"/>
      <c r="Y53" s="330"/>
      <c r="Z53" s="330"/>
      <c r="AA53" s="330"/>
      <c r="AB53" s="330"/>
      <c r="AC53" s="330"/>
      <c r="AD53" s="330"/>
      <c r="AE53" s="330"/>
      <c r="AF53" s="330"/>
      <c r="AG53" s="330"/>
      <c r="AH53" s="330"/>
      <c r="AI53" s="330"/>
      <c r="AJ53" s="330"/>
      <c r="AK53" s="330"/>
    </row>
    <row r="54" spans="2:43" s="49" customFormat="1" ht="43.35" customHeight="1" x14ac:dyDescent="0.35">
      <c r="B54" s="67"/>
      <c r="C54" s="330"/>
      <c r="D54" s="330"/>
      <c r="E54" s="330"/>
      <c r="F54" s="330"/>
      <c r="G54" s="330"/>
      <c r="H54" s="330"/>
      <c r="I54" s="330"/>
      <c r="J54" s="330"/>
      <c r="K54" s="330"/>
      <c r="L54" s="330"/>
      <c r="M54" s="330"/>
      <c r="N54" s="330"/>
      <c r="O54" s="330"/>
      <c r="P54" s="330"/>
      <c r="Q54" s="330"/>
      <c r="R54" s="330"/>
      <c r="S54" s="330"/>
      <c r="T54" s="330"/>
      <c r="U54" s="330"/>
      <c r="V54" s="330"/>
      <c r="W54" s="330"/>
      <c r="X54" s="330"/>
      <c r="Y54" s="330"/>
      <c r="Z54" s="330"/>
      <c r="AA54" s="330"/>
      <c r="AB54" s="330"/>
      <c r="AC54" s="330"/>
      <c r="AD54" s="330"/>
      <c r="AE54" s="330"/>
      <c r="AF54" s="330"/>
      <c r="AG54" s="330"/>
      <c r="AH54" s="330"/>
      <c r="AI54" s="330"/>
      <c r="AJ54" s="330"/>
      <c r="AK54" s="330"/>
      <c r="AL54" s="44"/>
      <c r="AM54" s="44"/>
      <c r="AN54" s="44"/>
    </row>
    <row r="55" spans="2:43" s="49" customFormat="1" ht="18" customHeight="1" x14ac:dyDescent="0.4">
      <c r="B55" s="55"/>
      <c r="C55" s="44"/>
      <c r="D55" s="73"/>
      <c r="E55" s="81"/>
      <c r="F55" s="63"/>
      <c r="G55" s="72"/>
      <c r="H55" s="72"/>
      <c r="I55" s="72"/>
      <c r="J55" s="72"/>
      <c r="L55" s="28"/>
      <c r="M55" s="63"/>
      <c r="N55" s="72"/>
      <c r="O55" s="44"/>
      <c r="P55" s="44"/>
      <c r="Q55" s="44"/>
      <c r="S55" s="28"/>
      <c r="T55" s="63"/>
      <c r="U55" s="44"/>
      <c r="V55" s="44"/>
      <c r="W55" s="44"/>
      <c r="X55" s="44"/>
      <c r="Z55" s="28"/>
      <c r="AA55" s="63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</row>
    <row r="56" spans="2:43" s="49" customFormat="1" ht="23.45" customHeight="1" x14ac:dyDescent="0.4">
      <c r="B56" s="55"/>
      <c r="C56" s="338"/>
      <c r="D56" s="338"/>
      <c r="E56" s="338"/>
      <c r="F56" s="338"/>
      <c r="G56" s="338"/>
      <c r="H56" s="338"/>
      <c r="I56" s="338"/>
      <c r="J56" s="338"/>
      <c r="K56" s="338"/>
      <c r="L56" s="338"/>
      <c r="M56" s="338"/>
      <c r="N56" s="338"/>
      <c r="O56" s="338"/>
      <c r="P56" s="338"/>
      <c r="Q56" s="338"/>
      <c r="R56" s="338"/>
      <c r="S56" s="338"/>
      <c r="T56" s="338"/>
      <c r="U56" s="338"/>
      <c r="V56" s="338"/>
      <c r="W56" s="338"/>
      <c r="X56" s="338"/>
      <c r="Y56" s="338"/>
      <c r="Z56" s="338"/>
      <c r="AA56" s="338"/>
      <c r="AB56" s="338"/>
      <c r="AC56" s="338"/>
      <c r="AD56" s="338"/>
      <c r="AE56" s="338"/>
      <c r="AF56" s="338"/>
      <c r="AG56" s="338"/>
      <c r="AH56" s="338"/>
      <c r="AI56" s="338"/>
      <c r="AJ56" s="338"/>
      <c r="AK56" s="338"/>
      <c r="AL56" s="44"/>
      <c r="AM56" s="44"/>
      <c r="AN56" s="44"/>
    </row>
    <row r="57" spans="2:43" s="49" customFormat="1" ht="23.45" customHeight="1" x14ac:dyDescent="0.4">
      <c r="B57" s="55"/>
      <c r="C57" s="330"/>
      <c r="D57" s="330"/>
      <c r="E57" s="330"/>
      <c r="F57" s="330"/>
      <c r="G57" s="330"/>
      <c r="H57" s="330"/>
      <c r="I57" s="330"/>
      <c r="J57" s="330"/>
      <c r="K57" s="330"/>
      <c r="L57" s="28"/>
      <c r="M57" s="265"/>
      <c r="N57" s="265"/>
      <c r="O57" s="265"/>
      <c r="P57" s="265"/>
      <c r="Q57" s="265"/>
      <c r="R57" s="265"/>
      <c r="S57" s="265"/>
      <c r="T57" s="265"/>
      <c r="U57" s="28"/>
      <c r="V57" s="265"/>
      <c r="W57" s="265"/>
      <c r="X57" s="265"/>
      <c r="Y57" s="265"/>
      <c r="Z57" s="265"/>
      <c r="AA57" s="265"/>
      <c r="AB57" s="265"/>
      <c r="AC57" s="265"/>
      <c r="AD57" s="28"/>
      <c r="AE57" s="265"/>
      <c r="AF57" s="265"/>
      <c r="AG57" s="265"/>
      <c r="AH57" s="265"/>
      <c r="AI57" s="265"/>
      <c r="AJ57" s="265"/>
      <c r="AK57" s="265"/>
      <c r="AL57" s="44"/>
      <c r="AM57" s="44"/>
      <c r="AN57" s="44"/>
    </row>
    <row r="58" spans="2:43" s="49" customFormat="1" ht="23.45" customHeight="1" x14ac:dyDescent="0.4">
      <c r="B58" s="55"/>
      <c r="C58" s="28"/>
      <c r="D58" s="265"/>
      <c r="E58" s="265"/>
      <c r="F58" s="265"/>
      <c r="G58" s="265"/>
      <c r="H58" s="265"/>
      <c r="I58" s="265"/>
      <c r="J58" s="265"/>
      <c r="K58" s="265"/>
      <c r="L58" s="28"/>
      <c r="M58" s="339"/>
      <c r="N58" s="339"/>
      <c r="O58" s="339"/>
      <c r="P58" s="339"/>
      <c r="Q58" s="339"/>
      <c r="R58" s="339"/>
      <c r="S58" s="339"/>
      <c r="T58" s="339"/>
      <c r="U58" s="28"/>
      <c r="V58" s="265"/>
      <c r="W58" s="265"/>
      <c r="X58" s="265"/>
      <c r="Y58" s="265"/>
      <c r="Z58" s="265"/>
      <c r="AA58" s="265"/>
      <c r="AB58" s="265"/>
      <c r="AC58" s="265"/>
      <c r="AD58" s="28"/>
      <c r="AE58" s="265"/>
      <c r="AF58" s="265"/>
      <c r="AG58" s="265"/>
      <c r="AH58" s="265"/>
      <c r="AI58" s="265"/>
      <c r="AJ58" s="265"/>
      <c r="AK58" s="265"/>
      <c r="AL58" s="44"/>
      <c r="AO58" s="44"/>
      <c r="AP58" s="44"/>
    </row>
    <row r="59" spans="2:43" s="56" customFormat="1" ht="23.45" customHeight="1" x14ac:dyDescent="0.4">
      <c r="B59" s="74"/>
      <c r="C59" s="28"/>
      <c r="D59" s="265"/>
      <c r="E59" s="265"/>
      <c r="F59" s="265"/>
      <c r="G59" s="265"/>
      <c r="H59" s="265"/>
      <c r="I59" s="265"/>
      <c r="J59" s="265"/>
      <c r="K59" s="265"/>
      <c r="L59" s="28"/>
      <c r="M59" s="265"/>
      <c r="N59" s="265"/>
      <c r="O59" s="265"/>
      <c r="P59" s="265"/>
      <c r="Q59" s="265"/>
      <c r="R59" s="265"/>
      <c r="S59" s="265"/>
      <c r="T59" s="265"/>
      <c r="U59" s="28"/>
      <c r="V59" s="265"/>
      <c r="W59" s="265"/>
      <c r="X59" s="265"/>
      <c r="Y59" s="265"/>
      <c r="Z59" s="265"/>
      <c r="AA59" s="265"/>
      <c r="AB59" s="265"/>
      <c r="AC59" s="265"/>
      <c r="AD59" s="28"/>
      <c r="AE59" s="265"/>
      <c r="AF59" s="265"/>
      <c r="AG59" s="265"/>
      <c r="AH59" s="265"/>
      <c r="AI59" s="265"/>
      <c r="AJ59" s="265"/>
      <c r="AK59" s="265"/>
      <c r="AL59" s="44"/>
      <c r="AM59" s="44"/>
      <c r="AN59" s="44"/>
    </row>
    <row r="60" spans="2:43" s="49" customFormat="1" ht="23.45" customHeight="1" x14ac:dyDescent="0.4">
      <c r="B60" s="55"/>
      <c r="C60" s="28"/>
      <c r="D60" s="44"/>
      <c r="E60" s="44"/>
      <c r="F60" s="44"/>
      <c r="G60" s="331"/>
      <c r="H60" s="331"/>
      <c r="I60" s="331"/>
      <c r="J60" s="331"/>
      <c r="K60" s="331"/>
      <c r="L60" s="331"/>
      <c r="M60" s="331"/>
      <c r="N60" s="331"/>
      <c r="O60" s="331"/>
      <c r="P60" s="331"/>
      <c r="Q60" s="331"/>
      <c r="R60" s="331"/>
      <c r="S60" s="331"/>
      <c r="T60" s="331"/>
      <c r="U60" s="28"/>
      <c r="V60" s="44"/>
      <c r="W60" s="44"/>
      <c r="X60" s="44"/>
      <c r="Y60" s="331"/>
      <c r="Z60" s="331"/>
      <c r="AA60" s="331"/>
      <c r="AB60" s="331"/>
      <c r="AC60" s="331"/>
      <c r="AD60" s="331"/>
      <c r="AE60" s="331"/>
      <c r="AF60" s="331"/>
      <c r="AG60" s="331"/>
      <c r="AH60" s="331"/>
      <c r="AI60" s="331"/>
      <c r="AJ60" s="331"/>
      <c r="AK60" s="331"/>
      <c r="AO60" s="44"/>
      <c r="AP60" s="44"/>
    </row>
    <row r="61" spans="2:43" s="49" customFormat="1" ht="23.45" customHeight="1" x14ac:dyDescent="0.4">
      <c r="B61" s="55"/>
      <c r="C61" s="340"/>
      <c r="D61" s="340"/>
      <c r="E61" s="340"/>
      <c r="F61" s="340"/>
      <c r="G61" s="340"/>
      <c r="H61" s="340"/>
      <c r="I61" s="340"/>
      <c r="J61" s="340"/>
      <c r="K61" s="340"/>
      <c r="L61" s="340"/>
      <c r="M61" s="340"/>
      <c r="N61" s="340"/>
      <c r="O61" s="340"/>
      <c r="P61" s="340"/>
      <c r="Q61" s="28"/>
      <c r="R61" s="63"/>
      <c r="S61" s="28"/>
      <c r="T61" s="63"/>
      <c r="U61" s="44"/>
      <c r="V61" s="28"/>
      <c r="W61" s="63"/>
      <c r="X61" s="44"/>
      <c r="Z61" s="28"/>
      <c r="AA61" s="63"/>
      <c r="AB61" s="44"/>
      <c r="AC61" s="44"/>
      <c r="AD61" s="44"/>
      <c r="AE61" s="44"/>
      <c r="AO61" s="44"/>
      <c r="AP61" s="44"/>
    </row>
    <row r="62" spans="2:43" s="49" customFormat="1" ht="23.45" customHeight="1" x14ac:dyDescent="0.4">
      <c r="B62" s="55"/>
      <c r="C62" s="340"/>
      <c r="D62" s="340"/>
      <c r="E62" s="340"/>
      <c r="F62" s="340"/>
      <c r="G62" s="340"/>
      <c r="H62" s="340"/>
      <c r="I62" s="340"/>
      <c r="J62" s="340"/>
      <c r="K62" s="340"/>
      <c r="L62" s="340"/>
      <c r="M62" s="340"/>
      <c r="N62" s="340"/>
      <c r="O62" s="340"/>
      <c r="P62" s="340"/>
      <c r="Q62" s="28"/>
      <c r="R62" s="63"/>
      <c r="S62" s="72"/>
      <c r="T62" s="44"/>
      <c r="U62" s="44"/>
      <c r="V62" s="44"/>
      <c r="X62" s="28"/>
      <c r="Y62" s="63"/>
      <c r="Z62" s="44"/>
      <c r="AA62" s="44"/>
      <c r="AB62" s="44"/>
      <c r="AC62" s="44"/>
      <c r="AE62" s="28"/>
      <c r="AF62" s="63"/>
      <c r="AG62" s="44"/>
      <c r="AH62" s="44"/>
      <c r="AI62" s="44"/>
      <c r="AJ62" s="44"/>
    </row>
    <row r="63" spans="2:43" s="63" customFormat="1" ht="23.45" customHeight="1" x14ac:dyDescent="0.25">
      <c r="B63" s="61"/>
      <c r="C63" s="341"/>
      <c r="D63" s="341"/>
      <c r="E63" s="341"/>
      <c r="F63" s="341"/>
      <c r="G63" s="341"/>
      <c r="H63" s="341"/>
      <c r="I63" s="341"/>
      <c r="J63" s="341"/>
      <c r="K63" s="341"/>
      <c r="L63" s="341"/>
      <c r="M63" s="341"/>
      <c r="N63" s="341"/>
      <c r="O63" s="341"/>
      <c r="P63" s="341"/>
      <c r="Q63" s="341"/>
      <c r="R63" s="341"/>
      <c r="S63" s="341"/>
      <c r="T63" s="341"/>
      <c r="U63" s="341"/>
      <c r="V63" s="341"/>
      <c r="W63" s="341"/>
      <c r="X63" s="341"/>
      <c r="Y63" s="341"/>
      <c r="Z63" s="341"/>
      <c r="AA63" s="341"/>
      <c r="AB63" s="341"/>
      <c r="AC63" s="341"/>
      <c r="AD63" s="341"/>
      <c r="AE63" s="341"/>
      <c r="AF63" s="341"/>
      <c r="AG63" s="341"/>
      <c r="AH63" s="341"/>
      <c r="AI63" s="341"/>
      <c r="AJ63" s="341"/>
      <c r="AK63" s="341"/>
    </row>
    <row r="64" spans="2:43" ht="21.6" customHeight="1" x14ac:dyDescent="0.4">
      <c r="B64" s="55"/>
      <c r="C64" s="63"/>
      <c r="E64" s="63"/>
      <c r="F64" s="63"/>
      <c r="H64" s="63" t="s">
        <v>271</v>
      </c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</row>
    <row r="65" spans="2:16" ht="21.6" customHeight="1" x14ac:dyDescent="0.4">
      <c r="B65" s="55"/>
      <c r="H65" s="44" t="s">
        <v>406</v>
      </c>
      <c r="P65" s="44" t="s">
        <v>273</v>
      </c>
    </row>
    <row r="66" spans="2:16" ht="21.6" customHeight="1" x14ac:dyDescent="0.4">
      <c r="B66" s="55"/>
    </row>
    <row r="67" spans="2:16" ht="21.6" customHeight="1" x14ac:dyDescent="0.4">
      <c r="B67" s="55"/>
    </row>
    <row r="68" spans="2:16" ht="21.6" customHeight="1" x14ac:dyDescent="0.4">
      <c r="B68" s="55"/>
    </row>
    <row r="69" spans="2:16" ht="21.6" customHeight="1" x14ac:dyDescent="0.4">
      <c r="B69" s="55"/>
    </row>
    <row r="70" spans="2:16" ht="21.6" customHeight="1" x14ac:dyDescent="0.4">
      <c r="B70" s="55"/>
    </row>
    <row r="71" spans="2:16" ht="21.6" customHeight="1" x14ac:dyDescent="0.4">
      <c r="B71" s="55"/>
    </row>
    <row r="72" spans="2:16" ht="21.6" customHeight="1" x14ac:dyDescent="0.4">
      <c r="B72" s="55"/>
    </row>
    <row r="73" spans="2:16" ht="21.6" customHeight="1" x14ac:dyDescent="0.4">
      <c r="B73" s="55"/>
    </row>
    <row r="74" spans="2:16" ht="21.6" customHeight="1" x14ac:dyDescent="0.4">
      <c r="B74" s="55"/>
    </row>
    <row r="75" spans="2:16" ht="21.6" customHeight="1" x14ac:dyDescent="0.4">
      <c r="B75" s="55"/>
    </row>
    <row r="76" spans="2:16" ht="21.6" customHeight="1" x14ac:dyDescent="0.4">
      <c r="B76" s="55"/>
    </row>
    <row r="77" spans="2:16" ht="21.6" customHeight="1" x14ac:dyDescent="0.4">
      <c r="B77" s="55"/>
    </row>
    <row r="78" spans="2:16" ht="27.75" x14ac:dyDescent="0.4">
      <c r="B78" s="55"/>
    </row>
    <row r="79" spans="2:16" ht="27.75" x14ac:dyDescent="0.4">
      <c r="B79" s="55"/>
    </row>
    <row r="80" spans="2:16" ht="27.75" x14ac:dyDescent="0.4">
      <c r="B80" s="55"/>
    </row>
    <row r="81" spans="2:2" ht="27.75" x14ac:dyDescent="0.4">
      <c r="B81" s="55"/>
    </row>
    <row r="82" spans="2:2" ht="27.75" x14ac:dyDescent="0.4">
      <c r="B82" s="55"/>
    </row>
    <row r="83" spans="2:2" ht="27.75" x14ac:dyDescent="0.4">
      <c r="B83" s="55"/>
    </row>
  </sheetData>
  <sheetProtection algorithmName="SHA-512" hashValue="q4R5Zv6NpHBl5pS0oFe1Fe7Zu5KNsIw8k0d6XS22izqRVu3UPR+odiz3vpoMg34Gp+PjqRiBRAsxKuYxlCR0tg==" saltValue="7GXeXazUFWWSswGYO86tbA==" spinCount="100000" sheet="1" objects="1" scenarios="1" formatRows="0"/>
  <mergeCells count="36">
    <mergeCell ref="G60:T60"/>
    <mergeCell ref="Y60:AK60"/>
    <mergeCell ref="C61:P61"/>
    <mergeCell ref="C62:P62"/>
    <mergeCell ref="C63:AK63"/>
    <mergeCell ref="D58:K58"/>
    <mergeCell ref="M58:T58"/>
    <mergeCell ref="V58:AC58"/>
    <mergeCell ref="AE58:AK58"/>
    <mergeCell ref="D59:K59"/>
    <mergeCell ref="M59:T59"/>
    <mergeCell ref="V59:AC59"/>
    <mergeCell ref="AE59:AK59"/>
    <mergeCell ref="C52:AK52"/>
    <mergeCell ref="C53:AK53"/>
    <mergeCell ref="C54:AK54"/>
    <mergeCell ref="C56:AK56"/>
    <mergeCell ref="C57:K57"/>
    <mergeCell ref="M57:T57"/>
    <mergeCell ref="V57:AC57"/>
    <mergeCell ref="AE57:AK57"/>
    <mergeCell ref="C51:AK51"/>
    <mergeCell ref="B2:AK2"/>
    <mergeCell ref="C26:U26"/>
    <mergeCell ref="V26:AK26"/>
    <mergeCell ref="C45:AK45"/>
    <mergeCell ref="I8:Z8"/>
    <mergeCell ref="C8:H8"/>
    <mergeCell ref="AC8:AK8"/>
    <mergeCell ref="P9:AK9"/>
    <mergeCell ref="M6:AK6"/>
    <mergeCell ref="C46:AK46"/>
    <mergeCell ref="C47:AK47"/>
    <mergeCell ref="C48:AK48"/>
    <mergeCell ref="C49:AK49"/>
    <mergeCell ref="C50:AK50"/>
  </mergeCells>
  <conditionalFormatting sqref="Z61">
    <cfRule type="notContainsBlanks" dxfId="47" priority="45">
      <formula>LEN(TRIM(Z61))&gt;0</formula>
    </cfRule>
  </conditionalFormatting>
  <conditionalFormatting sqref="S55">
    <cfRule type="notContainsBlanks" dxfId="46" priority="50">
      <formula>LEN(TRIM(S55))&gt;0</formula>
    </cfRule>
  </conditionalFormatting>
  <conditionalFormatting sqref="Z55">
    <cfRule type="notContainsBlanks" dxfId="45" priority="49">
      <formula>LEN(TRIM(Z55))&gt;0</formula>
    </cfRule>
  </conditionalFormatting>
  <conditionalFormatting sqref="L55">
    <cfRule type="notContainsBlanks" dxfId="44" priority="51">
      <formula>LEN(TRIM(L55))&gt;0</formula>
    </cfRule>
  </conditionalFormatting>
  <conditionalFormatting sqref="Q62">
    <cfRule type="notContainsBlanks" dxfId="43" priority="48">
      <formula>LEN(TRIM(Q62))&gt;0</formula>
    </cfRule>
  </conditionalFormatting>
  <conditionalFormatting sqref="S61">
    <cfRule type="notContainsBlanks" dxfId="42" priority="47">
      <formula>LEN(TRIM(S61))&gt;0</formula>
    </cfRule>
  </conditionalFormatting>
  <conditionalFormatting sqref="X62">
    <cfRule type="notContainsBlanks" dxfId="41" priority="46">
      <formula>LEN(TRIM(X62))&gt;0</formula>
    </cfRule>
  </conditionalFormatting>
  <conditionalFormatting sqref="AE62">
    <cfRule type="notContainsBlanks" dxfId="40" priority="44">
      <formula>LEN(TRIM(AE62))&gt;0</formula>
    </cfRule>
  </conditionalFormatting>
  <conditionalFormatting sqref="V7">
    <cfRule type="notContainsBlanks" dxfId="39" priority="40">
      <formula>LEN(TRIM(V7))&gt;0</formula>
    </cfRule>
  </conditionalFormatting>
  <conditionalFormatting sqref="AC7">
    <cfRule type="notContainsBlanks" dxfId="38" priority="39">
      <formula>LEN(TRIM(AC7))&gt;0</formula>
    </cfRule>
  </conditionalFormatting>
  <conditionalFormatting sqref="O7">
    <cfRule type="notContainsBlanks" dxfId="37" priority="38">
      <formula>LEN(TRIM(O7))&gt;0</formula>
    </cfRule>
  </conditionalFormatting>
  <conditionalFormatting sqref="F9">
    <cfRule type="notContainsBlanks" dxfId="36" priority="37">
      <formula>LEN(TRIM(F9))&gt;0</formula>
    </cfRule>
  </conditionalFormatting>
  <conditionalFormatting sqref="L9">
    <cfRule type="notContainsBlanks" dxfId="35" priority="36">
      <formula>LEN(TRIM(L9))&gt;0</formula>
    </cfRule>
  </conditionalFormatting>
  <conditionalFormatting sqref="C23">
    <cfRule type="notContainsBlanks" dxfId="34" priority="34">
      <formula>LEN(TRIM(C23))&gt;0</formula>
    </cfRule>
  </conditionalFormatting>
  <conditionalFormatting sqref="R23">
    <cfRule type="notContainsBlanks" dxfId="33" priority="33">
      <formula>LEN(TRIM(R23))&gt;0</formula>
    </cfRule>
  </conditionalFormatting>
  <conditionalFormatting sqref="C29">
    <cfRule type="notContainsBlanks" dxfId="32" priority="32">
      <formula>LEN(TRIM(C29))&gt;0</formula>
    </cfRule>
  </conditionalFormatting>
  <conditionalFormatting sqref="F29">
    <cfRule type="notContainsBlanks" dxfId="31" priority="31">
      <formula>LEN(TRIM(F29))&gt;0</formula>
    </cfRule>
  </conditionalFormatting>
  <conditionalFormatting sqref="C31">
    <cfRule type="notContainsBlanks" dxfId="30" priority="30">
      <formula>LEN(TRIM(C31))&gt;0</formula>
    </cfRule>
  </conditionalFormatting>
  <conditionalFormatting sqref="F31">
    <cfRule type="notContainsBlanks" dxfId="29" priority="29">
      <formula>LEN(TRIM(F31))&gt;0</formula>
    </cfRule>
  </conditionalFormatting>
  <conditionalFormatting sqref="C33">
    <cfRule type="notContainsBlanks" dxfId="28" priority="28">
      <formula>LEN(TRIM(C33))&gt;0</formula>
    </cfRule>
  </conditionalFormatting>
  <conditionalFormatting sqref="F33">
    <cfRule type="notContainsBlanks" dxfId="27" priority="27">
      <formula>LEN(TRIM(F33))&gt;0</formula>
    </cfRule>
  </conditionalFormatting>
  <conditionalFormatting sqref="C35">
    <cfRule type="notContainsBlanks" dxfId="26" priority="26">
      <formula>LEN(TRIM(C35))&gt;0</formula>
    </cfRule>
  </conditionalFormatting>
  <conditionalFormatting sqref="F35">
    <cfRule type="notContainsBlanks" dxfId="25" priority="25">
      <formula>LEN(TRIM(F35))&gt;0</formula>
    </cfRule>
  </conditionalFormatting>
  <conditionalFormatting sqref="C38">
    <cfRule type="notContainsBlanks" dxfId="24" priority="24">
      <formula>LEN(TRIM(C38))&gt;0</formula>
    </cfRule>
  </conditionalFormatting>
  <conditionalFormatting sqref="F38">
    <cfRule type="notContainsBlanks" dxfId="23" priority="23">
      <formula>LEN(TRIM(F38))&gt;0</formula>
    </cfRule>
  </conditionalFormatting>
  <conditionalFormatting sqref="C41">
    <cfRule type="notContainsBlanks" dxfId="22" priority="22">
      <formula>LEN(TRIM(C41))&gt;0</formula>
    </cfRule>
  </conditionalFormatting>
  <conditionalFormatting sqref="F41">
    <cfRule type="notContainsBlanks" dxfId="21" priority="21">
      <formula>LEN(TRIM(F41))&gt;0</formula>
    </cfRule>
  </conditionalFormatting>
  <conditionalFormatting sqref="C58">
    <cfRule type="notContainsBlanks" dxfId="20" priority="20">
      <formula>LEN(TRIM(C58))&gt;0</formula>
    </cfRule>
  </conditionalFormatting>
  <conditionalFormatting sqref="C59">
    <cfRule type="notContainsBlanks" dxfId="19" priority="19">
      <formula>LEN(TRIM(C59))&gt;0</formula>
    </cfRule>
  </conditionalFormatting>
  <conditionalFormatting sqref="C60">
    <cfRule type="notContainsBlanks" dxfId="18" priority="18">
      <formula>LEN(TRIM(C60))&gt;0</formula>
    </cfRule>
  </conditionalFormatting>
  <conditionalFormatting sqref="L57">
    <cfRule type="notContainsBlanks" dxfId="17" priority="17">
      <formula>LEN(TRIM(L57))&gt;0</formula>
    </cfRule>
  </conditionalFormatting>
  <conditionalFormatting sqref="L58">
    <cfRule type="notContainsBlanks" dxfId="16" priority="16">
      <formula>LEN(TRIM(L58))&gt;0</formula>
    </cfRule>
  </conditionalFormatting>
  <conditionalFormatting sqref="L59">
    <cfRule type="notContainsBlanks" dxfId="15" priority="15">
      <formula>LEN(TRIM(L59))&gt;0</formula>
    </cfRule>
  </conditionalFormatting>
  <conditionalFormatting sqref="U57">
    <cfRule type="notContainsBlanks" dxfId="14" priority="14">
      <formula>LEN(TRIM(U57))&gt;0</formula>
    </cfRule>
  </conditionalFormatting>
  <conditionalFormatting sqref="U58">
    <cfRule type="notContainsBlanks" dxfId="13" priority="13">
      <formula>LEN(TRIM(U58))&gt;0</formula>
    </cfRule>
  </conditionalFormatting>
  <conditionalFormatting sqref="U59">
    <cfRule type="notContainsBlanks" dxfId="12" priority="12">
      <formula>LEN(TRIM(U59))&gt;0</formula>
    </cfRule>
  </conditionalFormatting>
  <conditionalFormatting sqref="U60">
    <cfRule type="notContainsBlanks" dxfId="11" priority="11">
      <formula>LEN(TRIM(U60))&gt;0</formula>
    </cfRule>
  </conditionalFormatting>
  <conditionalFormatting sqref="AD57">
    <cfRule type="notContainsBlanks" dxfId="10" priority="10">
      <formula>LEN(TRIM(AD57))&gt;0</formula>
    </cfRule>
  </conditionalFormatting>
  <conditionalFormatting sqref="AD58">
    <cfRule type="notContainsBlanks" dxfId="9" priority="9">
      <formula>LEN(TRIM(AD58))&gt;0</formula>
    </cfRule>
  </conditionalFormatting>
  <conditionalFormatting sqref="AD59">
    <cfRule type="notContainsBlanks" dxfId="8" priority="8">
      <formula>LEN(TRIM(AD59))&gt;0</formula>
    </cfRule>
  </conditionalFormatting>
  <conditionalFormatting sqref="Q61">
    <cfRule type="notContainsBlanks" dxfId="7" priority="7">
      <formula>LEN(TRIM(Q61))&gt;0</formula>
    </cfRule>
  </conditionalFormatting>
  <conditionalFormatting sqref="V61">
    <cfRule type="notContainsBlanks" dxfId="6" priority="6">
      <formula>LEN(TRIM(V61))&gt;0</formula>
    </cfRule>
  </conditionalFormatting>
  <conditionalFormatting sqref="M6:AK6">
    <cfRule type="notContainsBlanks" dxfId="5" priority="1">
      <formula>LEN(TRIM(M6))&gt;0</formula>
    </cfRule>
    <cfRule type="expression" dxfId="4" priority="2">
      <formula>$F$6="P"</formula>
    </cfRule>
  </conditionalFormatting>
  <pageMargins left="1" right="0.7" top="0.2" bottom="0.15" header="0.3" footer="0.3"/>
  <pageSetup scale="4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99" r:id="rId4" name="Check Box 39">
              <controlPr defaultSize="0" print="0" autoFill="0" autoLine="0" autoPict="0">
                <anchor moveWithCells="1">
                  <from>
                    <xdr:col>2</xdr:col>
                    <xdr:colOff>85725</xdr:colOff>
                    <xdr:row>5</xdr:row>
                    <xdr:rowOff>28575</xdr:rowOff>
                  </from>
                  <to>
                    <xdr:col>2</xdr:col>
                    <xdr:colOff>333375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1" r:id="rId5" name="Check Box 41">
              <controlPr defaultSize="0" print="0" autoFill="0" autoLine="0" autoPict="0">
                <anchor moveWithCells="1">
                  <from>
                    <xdr:col>5</xdr:col>
                    <xdr:colOff>114300</xdr:colOff>
                    <xdr:row>5</xdr:row>
                    <xdr:rowOff>28575</xdr:rowOff>
                  </from>
                  <to>
                    <xdr:col>5</xdr:col>
                    <xdr:colOff>352425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86DCE-8EB1-43B6-A0CC-7532CFF26D86}">
  <sheetPr codeName="Sheet9"/>
  <dimension ref="B1:AF1011"/>
  <sheetViews>
    <sheetView topLeftCell="A7" zoomScale="70" zoomScaleNormal="70" workbookViewId="0">
      <selection activeCell="H40" sqref="H40"/>
    </sheetView>
  </sheetViews>
  <sheetFormatPr defaultColWidth="8.85546875" defaultRowHeight="15" x14ac:dyDescent="0.25"/>
  <cols>
    <col min="1" max="1" width="8.85546875" customWidth="1"/>
    <col min="2" max="2" width="8.85546875" style="16" customWidth="1"/>
    <col min="3" max="4" width="8.85546875" customWidth="1"/>
    <col min="5" max="5" width="2.28515625" customWidth="1"/>
    <col min="6" max="9" width="8.85546875" style="21" customWidth="1"/>
    <col min="10" max="11" width="8.85546875" customWidth="1"/>
    <col min="12" max="12" width="5.140625" customWidth="1"/>
    <col min="13" max="13" width="27.85546875" customWidth="1"/>
    <col min="14" max="16" width="5.140625" customWidth="1"/>
    <col min="17" max="17" width="8.85546875" customWidth="1"/>
    <col min="18" max="19" width="2.140625" customWidth="1"/>
    <col min="20" max="21" width="17.85546875" customWidth="1"/>
    <col min="22" max="22" width="8.85546875" customWidth="1"/>
    <col min="23" max="24" width="17.85546875" customWidth="1"/>
    <col min="25" max="33" width="8.85546875" customWidth="1"/>
  </cols>
  <sheetData>
    <row r="1" spans="2:32" x14ac:dyDescent="0.25">
      <c r="B1" s="22" t="s">
        <v>407</v>
      </c>
      <c r="C1" s="22" t="s">
        <v>408</v>
      </c>
      <c r="D1" s="22" t="s">
        <v>409</v>
      </c>
      <c r="F1" s="23" t="s">
        <v>410</v>
      </c>
      <c r="G1" s="23" t="b">
        <v>0</v>
      </c>
      <c r="H1" s="23" t="s">
        <v>411</v>
      </c>
      <c r="I1" s="23" t="s">
        <v>412</v>
      </c>
      <c r="M1" s="19" t="s">
        <v>413</v>
      </c>
      <c r="N1" s="20" t="str">
        <f>IF(COUNTIF('CP-1'!B13:S14,"P")=0,1,IF('CP-1'!N13="P",1,""))</f>
        <v/>
      </c>
      <c r="O1" s="103"/>
      <c r="P1" s="20">
        <f>SUM(N1:O1)</f>
        <v>0</v>
      </c>
    </row>
    <row r="2" spans="2:32" x14ac:dyDescent="0.25">
      <c r="B2" s="18" t="b">
        <v>0</v>
      </c>
      <c r="C2" s="19" t="b">
        <v>1</v>
      </c>
      <c r="D2" s="19" t="b">
        <v>0</v>
      </c>
      <c r="F2" s="20" t="b">
        <v>0</v>
      </c>
      <c r="G2" s="20" t="b">
        <v>0</v>
      </c>
      <c r="H2" s="20" t="b">
        <v>0</v>
      </c>
      <c r="I2" s="20" t="b">
        <v>0</v>
      </c>
      <c r="M2" s="19" t="s">
        <v>414</v>
      </c>
      <c r="N2" s="20" t="str">
        <f>IF(COUNTIF('CP-1'!B13:S14,"P")=0,1,IF(OR('CP-1'!I13="P",'CP-1'!I13="P"),1,""))</f>
        <v/>
      </c>
      <c r="O2" s="103"/>
      <c r="P2" s="20">
        <f>SUM(N2:O2)</f>
        <v>0</v>
      </c>
    </row>
    <row r="3" spans="2:32" x14ac:dyDescent="0.25">
      <c r="B3" s="18" t="b">
        <v>1</v>
      </c>
      <c r="C3" s="19" t="b">
        <v>0</v>
      </c>
      <c r="D3" s="19" t="b">
        <v>0</v>
      </c>
      <c r="F3" s="20" t="b">
        <v>0</v>
      </c>
      <c r="G3" s="20" t="b">
        <v>0</v>
      </c>
      <c r="H3" s="20" t="b">
        <v>0</v>
      </c>
      <c r="I3" s="20" t="b">
        <v>0</v>
      </c>
      <c r="S3">
        <f>MAX(R:R)</f>
        <v>1</v>
      </c>
      <c r="Y3" s="342" t="s">
        <v>415</v>
      </c>
      <c r="Z3" s="342"/>
      <c r="AA3" s="342"/>
      <c r="AB3" s="342"/>
      <c r="AC3" s="342"/>
      <c r="AD3" s="342"/>
      <c r="AE3" s="342"/>
      <c r="AF3" s="342"/>
    </row>
    <row r="4" spans="2:32" x14ac:dyDescent="0.25">
      <c r="B4" s="18" t="b">
        <v>0</v>
      </c>
      <c r="C4" s="19" t="b">
        <v>0</v>
      </c>
      <c r="D4" s="19" t="b">
        <v>0</v>
      </c>
      <c r="F4" s="20" t="b">
        <v>0</v>
      </c>
      <c r="G4" s="20" t="b">
        <v>1</v>
      </c>
      <c r="H4" s="20" t="b">
        <v>0</v>
      </c>
      <c r="I4" s="20"/>
      <c r="L4">
        <v>1</v>
      </c>
      <c r="M4" s="18" t="s">
        <v>17</v>
      </c>
      <c r="N4" s="18" t="str">
        <f>'CP-1'!B13</f>
        <v/>
      </c>
      <c r="O4" s="16" t="str">
        <f>IF(N4="p",1,"")</f>
        <v/>
      </c>
      <c r="P4" s="16"/>
      <c r="Q4" s="16"/>
      <c r="R4" s="16" t="str">
        <f>IF(S4="","",(COUNTIF(S$4:S4,1)))</f>
        <v/>
      </c>
      <c r="S4" t="str">
        <f>O4</f>
        <v/>
      </c>
      <c r="T4" s="16" t="str">
        <f>IF(O4=1,"ISO 9001 W/D","")</f>
        <v/>
      </c>
      <c r="U4" s="16" t="str">
        <f>IF(O4=1,M4,"")</f>
        <v/>
      </c>
      <c r="V4" s="146">
        <v>1</v>
      </c>
      <c r="W4" s="16" t="str">
        <f>IFERROR(VLOOKUP(V4,R:U,3,FALSE),"")</f>
        <v>ISO 9001 W OUT/D</v>
      </c>
      <c r="X4" s="16" t="str">
        <f>IFERROR(VLOOKUP(V4,R:U,4,FALSE),"")</f>
        <v>ISO 9001:2015 without Design</v>
      </c>
      <c r="Y4" s="145" t="str">
        <f>IFERROR(HLOOKUP(W4,'CP-4'!#REF!,2,FALSE),"")</f>
        <v/>
      </c>
    </row>
    <row r="5" spans="2:32" x14ac:dyDescent="0.25">
      <c r="B5" s="18" t="b">
        <v>0</v>
      </c>
      <c r="C5" s="19" t="b">
        <v>0</v>
      </c>
      <c r="D5" s="19" t="b">
        <v>1</v>
      </c>
      <c r="F5" s="20" t="b">
        <v>0</v>
      </c>
      <c r="G5" s="20" t="b">
        <v>0</v>
      </c>
      <c r="H5" s="20" t="b">
        <v>0</v>
      </c>
      <c r="I5" s="20"/>
      <c r="L5">
        <v>2</v>
      </c>
      <c r="M5" s="18" t="s">
        <v>21</v>
      </c>
      <c r="N5" s="18" t="str">
        <f>'CP-1'!B14</f>
        <v>P</v>
      </c>
      <c r="O5" s="16">
        <f t="shared" ref="O5:O13" si="0">IF(N5="p",1,"")</f>
        <v>1</v>
      </c>
      <c r="P5" s="16"/>
      <c r="Q5" s="16"/>
      <c r="R5" s="16">
        <f>IF(S5="","",(COUNTIF(S$4:S5,1)))</f>
        <v>1</v>
      </c>
      <c r="S5">
        <f t="shared" ref="S5:S13" si="1">O5</f>
        <v>1</v>
      </c>
      <c r="T5" s="16" t="str">
        <f>IF(O5=1,"ISO 9001 W OUT/D","")</f>
        <v>ISO 9001 W OUT/D</v>
      </c>
      <c r="U5" s="16" t="str">
        <f t="shared" ref="U5:U13" si="2">IF(O5=1,M5,"")</f>
        <v>ISO 9001:2015 without Design</v>
      </c>
      <c r="V5" s="146" t="str">
        <f>IF(V4="","",(IF((V4+1)&lt;=S$3,(V4+1),"")))</f>
        <v/>
      </c>
      <c r="W5" s="16" t="str">
        <f t="shared" ref="W5:W13" si="3">VLOOKUP(V5,R:U,3,FALSE)</f>
        <v/>
      </c>
      <c r="X5" s="16" t="str">
        <f t="shared" ref="X5:X13" si="4">VLOOKUP(V5,R:U,4,FALSE)</f>
        <v/>
      </c>
      <c r="Y5" s="145" t="str">
        <f>IFERROR(HLOOKUP(W5,'CP-4'!#REF!,2,FALSE),"")</f>
        <v/>
      </c>
    </row>
    <row r="6" spans="2:32" x14ac:dyDescent="0.25">
      <c r="B6" s="18" t="b">
        <v>0</v>
      </c>
      <c r="C6" s="19" t="b">
        <v>1</v>
      </c>
      <c r="D6" s="19" t="b">
        <v>0</v>
      </c>
      <c r="F6" s="20" t="b">
        <v>0</v>
      </c>
      <c r="G6" s="20" t="b">
        <v>0</v>
      </c>
      <c r="H6" s="20" t="b">
        <v>0</v>
      </c>
      <c r="I6" s="20"/>
      <c r="L6">
        <v>3</v>
      </c>
      <c r="M6" s="18" t="s">
        <v>19</v>
      </c>
      <c r="N6" s="18" t="str">
        <f>'CP-1'!N13</f>
        <v/>
      </c>
      <c r="O6" s="16" t="str">
        <f>IF(N6="p",1,"")</f>
        <v/>
      </c>
      <c r="P6" s="16"/>
      <c r="Q6" s="16"/>
      <c r="R6" s="16" t="str">
        <f>IF(S6="","",(COUNTIF(S$4:S6,1)))</f>
        <v/>
      </c>
      <c r="S6" t="str">
        <f t="shared" si="1"/>
        <v/>
      </c>
      <c r="T6" s="16" t="str">
        <f>IF(O6=1,"ISO 14001","")</f>
        <v/>
      </c>
      <c r="U6" s="16" t="str">
        <f t="shared" si="2"/>
        <v/>
      </c>
      <c r="V6" s="146" t="str">
        <f>IF(V5="","",(IF((V5+1)&lt;=S$3,(V5+1),"")))</f>
        <v/>
      </c>
      <c r="W6" s="16" t="str">
        <f t="shared" si="3"/>
        <v/>
      </c>
      <c r="X6" s="16" t="str">
        <f t="shared" si="4"/>
        <v/>
      </c>
      <c r="Y6" s="145" t="str">
        <f>IFERROR(HLOOKUP(W6,'CP-4'!#REF!,2,FALSE),"")</f>
        <v/>
      </c>
    </row>
    <row r="7" spans="2:32" x14ac:dyDescent="0.25">
      <c r="B7" s="18" t="b">
        <v>0</v>
      </c>
      <c r="C7" s="19" t="b">
        <v>0</v>
      </c>
      <c r="D7" s="19" t="b">
        <v>1</v>
      </c>
      <c r="F7" s="20" t="b">
        <v>0</v>
      </c>
      <c r="G7" s="20" t="b">
        <v>0</v>
      </c>
      <c r="H7" s="20" t="b">
        <v>0</v>
      </c>
      <c r="I7" s="20"/>
      <c r="L7">
        <v>4</v>
      </c>
      <c r="M7" s="18" t="s">
        <v>20</v>
      </c>
      <c r="N7" s="18" t="str">
        <f>'CP-1'!S13</f>
        <v/>
      </c>
      <c r="O7" s="16" t="str">
        <f t="shared" si="0"/>
        <v/>
      </c>
      <c r="P7" s="16"/>
      <c r="Q7" s="16"/>
      <c r="R7" s="16" t="str">
        <f>IF(S7="","",(COUNTIF(S$4:S7,1)))</f>
        <v/>
      </c>
      <c r="S7" t="str">
        <f t="shared" si="1"/>
        <v/>
      </c>
      <c r="T7" s="16" t="str">
        <f>IF(O7=1,"TL 9000","")</f>
        <v/>
      </c>
      <c r="U7" s="16" t="str">
        <f t="shared" si="2"/>
        <v/>
      </c>
      <c r="V7" s="146" t="str">
        <f>IF(V6="","",(IF((V6+1)&lt;=S$3,(V6+1),"")))</f>
        <v/>
      </c>
      <c r="W7" s="16" t="str">
        <f t="shared" si="3"/>
        <v/>
      </c>
      <c r="X7" s="16" t="str">
        <f t="shared" si="4"/>
        <v/>
      </c>
      <c r="Y7" s="145" t="str">
        <f>IFERROR(HLOOKUP(W7,'CP-4'!#REF!,2,FALSE),"")</f>
        <v/>
      </c>
    </row>
    <row r="8" spans="2:32" x14ac:dyDescent="0.25">
      <c r="B8" s="18" t="b">
        <v>0</v>
      </c>
      <c r="C8" s="19" t="b">
        <v>0</v>
      </c>
      <c r="D8" s="19" t="b">
        <v>0</v>
      </c>
      <c r="F8" s="20" t="b">
        <v>0</v>
      </c>
      <c r="G8" s="20" t="b">
        <v>0</v>
      </c>
      <c r="H8" s="20" t="b">
        <v>0</v>
      </c>
      <c r="I8" s="20"/>
      <c r="L8">
        <v>5</v>
      </c>
      <c r="M8" s="18" t="s">
        <v>18</v>
      </c>
      <c r="N8" s="18" t="str">
        <f>'CP-1'!I13</f>
        <v/>
      </c>
      <c r="O8" s="16" t="str">
        <f t="shared" si="0"/>
        <v/>
      </c>
      <c r="P8" s="16"/>
      <c r="Q8" s="16"/>
      <c r="R8" s="16" t="str">
        <f>IF(S8="","",(COUNTIF(S$4:S8,1)))</f>
        <v/>
      </c>
      <c r="S8" t="str">
        <f t="shared" si="1"/>
        <v/>
      </c>
      <c r="T8" s="16" t="str">
        <f>IF(O8=1,"ISO 45001","")</f>
        <v/>
      </c>
      <c r="U8" s="16" t="str">
        <f t="shared" si="2"/>
        <v/>
      </c>
      <c r="V8" s="146" t="str">
        <f t="shared" ref="V8:V13" si="5">IF(V7="","",(IF((V7+1)&lt;=S$3,(V7+1),"")))</f>
        <v/>
      </c>
      <c r="W8" s="16" t="str">
        <f t="shared" si="3"/>
        <v/>
      </c>
      <c r="X8" s="16" t="str">
        <f t="shared" si="4"/>
        <v/>
      </c>
      <c r="Y8" s="145" t="str">
        <f>IFERROR(HLOOKUP(W8,'CP-4'!#REF!,2,FALSE),"")</f>
        <v/>
      </c>
    </row>
    <row r="9" spans="2:32" x14ac:dyDescent="0.25">
      <c r="B9" s="18" t="b">
        <v>0</v>
      </c>
      <c r="C9" s="19" t="b">
        <v>0</v>
      </c>
      <c r="D9" s="19" t="b">
        <v>0</v>
      </c>
      <c r="F9" s="20" t="b">
        <v>0</v>
      </c>
      <c r="G9" s="20" t="b">
        <v>0</v>
      </c>
      <c r="H9" s="20" t="b">
        <v>0</v>
      </c>
      <c r="I9" s="20"/>
      <c r="L9">
        <v>6</v>
      </c>
      <c r="M9" s="18" t="s">
        <v>416</v>
      </c>
      <c r="N9" s="150" t="str">
        <f>IF(K9="","",K9)</f>
        <v/>
      </c>
      <c r="O9" s="16" t="str">
        <f t="shared" si="0"/>
        <v/>
      </c>
      <c r="P9" s="16"/>
      <c r="Q9" s="16"/>
      <c r="R9" s="16" t="str">
        <f>IF(S9="","",(COUNTIF(S$4:S9,1)))</f>
        <v/>
      </c>
      <c r="S9" t="str">
        <f t="shared" si="1"/>
        <v/>
      </c>
      <c r="T9" s="16" t="str">
        <f>IF(O9=1,"OSHAS","")</f>
        <v/>
      </c>
      <c r="U9" s="16" t="str">
        <f t="shared" si="2"/>
        <v/>
      </c>
      <c r="V9" s="146" t="str">
        <f t="shared" si="5"/>
        <v/>
      </c>
      <c r="W9" s="16" t="str">
        <f t="shared" si="3"/>
        <v/>
      </c>
      <c r="X9" s="16" t="str">
        <f t="shared" si="4"/>
        <v/>
      </c>
      <c r="Y9" s="145" t="str">
        <f>IFERROR(HLOOKUP(W9,'CP-4'!#REF!,2,FALSE),"")</f>
        <v/>
      </c>
    </row>
    <row r="10" spans="2:32" x14ac:dyDescent="0.25">
      <c r="B10" s="18" t="b">
        <v>0</v>
      </c>
      <c r="C10" s="19" t="b">
        <v>0</v>
      </c>
      <c r="D10" s="19" t="b">
        <v>0</v>
      </c>
      <c r="F10" s="20" t="b">
        <v>0</v>
      </c>
      <c r="G10" s="20" t="b">
        <v>0</v>
      </c>
      <c r="H10" s="20" t="b">
        <v>0</v>
      </c>
      <c r="I10" s="20"/>
      <c r="L10">
        <v>7</v>
      </c>
      <c r="M10" s="18" t="s">
        <v>23</v>
      </c>
      <c r="N10" s="18" t="str">
        <f>'CP-1'!N14</f>
        <v/>
      </c>
      <c r="O10" s="16" t="str">
        <f t="shared" si="0"/>
        <v/>
      </c>
      <c r="P10" s="16"/>
      <c r="Q10" s="16"/>
      <c r="R10" s="16" t="str">
        <f>IF(S10="","",(COUNTIF(S$4:S10,1)))</f>
        <v/>
      </c>
      <c r="S10" t="str">
        <f t="shared" si="1"/>
        <v/>
      </c>
      <c r="T10" s="16" t="str">
        <f>IF(O10=1,"ISO 20000","")</f>
        <v/>
      </c>
      <c r="U10" s="16" t="str">
        <f t="shared" si="2"/>
        <v/>
      </c>
      <c r="V10" s="146" t="str">
        <f t="shared" si="5"/>
        <v/>
      </c>
      <c r="W10" s="16" t="str">
        <f t="shared" si="3"/>
        <v/>
      </c>
      <c r="X10" s="16" t="str">
        <f t="shared" si="4"/>
        <v/>
      </c>
      <c r="Y10" s="145" t="str">
        <f>IFERROR(HLOOKUP(W10,'CP-4'!#REF!,2,FALSE),"")</f>
        <v/>
      </c>
    </row>
    <row r="11" spans="2:32" x14ac:dyDescent="0.25">
      <c r="B11" s="18" t="b">
        <v>0</v>
      </c>
      <c r="C11" s="19" t="b">
        <v>0</v>
      </c>
      <c r="D11" s="19" t="b">
        <v>0</v>
      </c>
      <c r="F11" s="20" t="b">
        <v>0</v>
      </c>
      <c r="G11" s="20" t="b">
        <v>0</v>
      </c>
      <c r="H11" s="20" t="b">
        <v>0</v>
      </c>
      <c r="I11" s="20"/>
      <c r="L11">
        <v>8</v>
      </c>
      <c r="M11" s="18" t="s">
        <v>417</v>
      </c>
      <c r="N11" s="18"/>
      <c r="O11" s="16" t="str">
        <f t="shared" si="0"/>
        <v/>
      </c>
      <c r="P11" s="16"/>
      <c r="Q11" s="16"/>
      <c r="R11" s="16" t="str">
        <f>IF(S11="","",(COUNTIF(S$4:S11,1)))</f>
        <v/>
      </c>
      <c r="S11" t="str">
        <f t="shared" si="1"/>
        <v/>
      </c>
      <c r="T11" s="16" t="str">
        <f>IF(O11=1,"ISO 22001","")</f>
        <v/>
      </c>
      <c r="U11" s="16" t="str">
        <f t="shared" si="2"/>
        <v/>
      </c>
      <c r="V11" s="146" t="str">
        <f t="shared" si="5"/>
        <v/>
      </c>
      <c r="W11" s="16" t="str">
        <f t="shared" si="3"/>
        <v/>
      </c>
      <c r="X11" s="16" t="str">
        <f t="shared" si="4"/>
        <v/>
      </c>
      <c r="Y11" s="145" t="str">
        <f>IFERROR(HLOOKUP(W11,'CP-4'!#REF!,2,FALSE),"")</f>
        <v/>
      </c>
    </row>
    <row r="12" spans="2:32" x14ac:dyDescent="0.25">
      <c r="B12" s="18" t="b">
        <v>0</v>
      </c>
      <c r="C12" s="19" t="b">
        <v>0</v>
      </c>
      <c r="D12" s="19" t="b">
        <v>0</v>
      </c>
      <c r="F12" s="20" t="b">
        <v>0</v>
      </c>
      <c r="G12" s="20" t="b">
        <v>0</v>
      </c>
      <c r="H12" s="20" t="b">
        <v>0</v>
      </c>
      <c r="I12" s="20"/>
      <c r="L12">
        <v>9</v>
      </c>
      <c r="M12" s="18" t="s">
        <v>22</v>
      </c>
      <c r="N12" s="18" t="str">
        <f>'CP-1'!I14</f>
        <v/>
      </c>
      <c r="O12" s="16" t="str">
        <f t="shared" si="0"/>
        <v/>
      </c>
      <c r="P12" s="16"/>
      <c r="Q12" s="16"/>
      <c r="R12" s="16" t="str">
        <f>IF(S12="","",(COUNTIF(S$4:S12,1)))</f>
        <v/>
      </c>
      <c r="S12" t="str">
        <f t="shared" si="1"/>
        <v/>
      </c>
      <c r="T12" s="16" t="str">
        <f>IF(O12=1,"ISO 27001","")</f>
        <v/>
      </c>
      <c r="U12" s="16" t="str">
        <f t="shared" si="2"/>
        <v/>
      </c>
      <c r="V12" s="146" t="str">
        <f t="shared" si="5"/>
        <v/>
      </c>
      <c r="W12" s="16" t="str">
        <f t="shared" si="3"/>
        <v/>
      </c>
      <c r="X12" s="16" t="str">
        <f t="shared" si="4"/>
        <v/>
      </c>
      <c r="Y12" s="145" t="str">
        <f>IFERROR(HLOOKUP(W12,'CP-4'!#REF!,2,FALSE),"")</f>
        <v/>
      </c>
    </row>
    <row r="13" spans="2:32" x14ac:dyDescent="0.25">
      <c r="B13" s="18" t="b">
        <v>0</v>
      </c>
      <c r="C13" s="19" t="b">
        <v>0</v>
      </c>
      <c r="D13" s="19" t="b">
        <v>0</v>
      </c>
      <c r="F13" s="20" t="b">
        <v>0</v>
      </c>
      <c r="G13" s="20" t="b">
        <v>0</v>
      </c>
      <c r="H13" s="20" t="b">
        <v>0</v>
      </c>
      <c r="I13" s="20"/>
      <c r="L13">
        <v>10</v>
      </c>
      <c r="M13" s="18" t="s">
        <v>418</v>
      </c>
      <c r="N13" s="18"/>
      <c r="O13" s="16" t="str">
        <f t="shared" si="0"/>
        <v/>
      </c>
      <c r="P13" s="16"/>
      <c r="Q13" s="16"/>
      <c r="R13" s="16" t="str">
        <f>IF(S13="","",(COUNTIF(S$4:S13,1)))</f>
        <v/>
      </c>
      <c r="S13" t="str">
        <f t="shared" si="1"/>
        <v/>
      </c>
      <c r="T13" s="16" t="str">
        <f>IF(O13=1,"ISO 39001","")</f>
        <v/>
      </c>
      <c r="U13" s="16" t="str">
        <f t="shared" si="2"/>
        <v/>
      </c>
      <c r="V13" s="146" t="str">
        <f t="shared" si="5"/>
        <v/>
      </c>
      <c r="W13" s="16" t="str">
        <f t="shared" si="3"/>
        <v/>
      </c>
      <c r="X13" s="16" t="str">
        <f t="shared" si="4"/>
        <v/>
      </c>
      <c r="Y13" s="145" t="str">
        <f>IFERROR(HLOOKUP(W13,'CP-4'!#REF!,2,FALSE),"")</f>
        <v/>
      </c>
    </row>
    <row r="14" spans="2:32" x14ac:dyDescent="0.25">
      <c r="B14" s="18" t="b">
        <v>0</v>
      </c>
      <c r="C14" s="19" t="b">
        <v>1</v>
      </c>
      <c r="D14" s="19" t="b">
        <v>0</v>
      </c>
      <c r="F14" s="20" t="b">
        <v>0</v>
      </c>
      <c r="G14" s="20" t="b">
        <v>0</v>
      </c>
      <c r="H14" s="20" t="b">
        <v>0</v>
      </c>
      <c r="I14" s="20"/>
      <c r="M14" s="16"/>
      <c r="N14" s="16"/>
      <c r="O14" s="16"/>
      <c r="P14" s="16"/>
      <c r="Q14" s="16"/>
      <c r="R14" s="16"/>
      <c r="T14" s="16"/>
      <c r="U14" s="16"/>
      <c r="V14" s="16"/>
      <c r="W14" s="16"/>
      <c r="X14" s="16"/>
    </row>
    <row r="15" spans="2:32" x14ac:dyDescent="0.25">
      <c r="B15" s="18" t="b">
        <v>0</v>
      </c>
      <c r="C15" s="19" t="b">
        <v>0</v>
      </c>
      <c r="D15" s="19" t="b">
        <v>1</v>
      </c>
      <c r="F15" s="20" t="b">
        <v>0</v>
      </c>
      <c r="G15" s="20" t="b">
        <v>0</v>
      </c>
      <c r="H15" s="20" t="b">
        <v>0</v>
      </c>
      <c r="I15" s="20"/>
      <c r="M15" s="18" t="s">
        <v>419</v>
      </c>
      <c r="N15" s="18">
        <f>IF('CP-2'!F45="","",1)</f>
        <v>1</v>
      </c>
      <c r="O15" s="18" t="str">
        <f>IF('CP-2'!L45="","",1)</f>
        <v/>
      </c>
      <c r="P15" s="18" t="str">
        <f>IF('CP-2'!S45="","",1)</f>
        <v/>
      </c>
      <c r="Q15" s="18">
        <f>SUM(N15:P15)</f>
        <v>1</v>
      </c>
      <c r="R15" s="16"/>
      <c r="T15" s="16"/>
      <c r="U15" s="16"/>
      <c r="V15" s="16"/>
      <c r="W15" s="16"/>
      <c r="X15" s="16"/>
    </row>
    <row r="16" spans="2:32" x14ac:dyDescent="0.25">
      <c r="B16" s="18" t="b">
        <v>0</v>
      </c>
      <c r="C16" s="19"/>
      <c r="D16" s="19" t="b">
        <v>1</v>
      </c>
      <c r="F16" s="20" t="b">
        <v>0</v>
      </c>
      <c r="G16" s="20" t="b">
        <v>0</v>
      </c>
      <c r="H16" s="20" t="b">
        <v>0</v>
      </c>
      <c r="I16" s="20"/>
      <c r="M16" s="18" t="s">
        <v>420</v>
      </c>
      <c r="N16" s="18" t="str">
        <f>IF('CP-2'!F46="","",1)</f>
        <v/>
      </c>
      <c r="O16" s="18" t="str">
        <f>IF('CP-2'!L46="","",1)</f>
        <v/>
      </c>
      <c r="P16" s="18" t="str">
        <f>IF('CP-2'!S46="","",1)</f>
        <v/>
      </c>
      <c r="Q16" s="18">
        <f>SUM(N16:P16)</f>
        <v>0</v>
      </c>
      <c r="R16" s="16"/>
    </row>
    <row r="17" spans="2:28" x14ac:dyDescent="0.25">
      <c r="B17" s="18" t="b">
        <v>0</v>
      </c>
      <c r="C17" s="19"/>
      <c r="D17" s="19" t="b">
        <v>1</v>
      </c>
      <c r="F17" s="20" t="b">
        <v>0</v>
      </c>
      <c r="G17" s="20" t="b">
        <v>0</v>
      </c>
      <c r="H17" s="20" t="b">
        <v>0</v>
      </c>
      <c r="I17" s="20"/>
      <c r="AB17" s="21"/>
    </row>
    <row r="18" spans="2:28" x14ac:dyDescent="0.25">
      <c r="B18" s="18" t="b">
        <v>0</v>
      </c>
      <c r="C18" s="19"/>
      <c r="D18" s="19" t="b">
        <v>1</v>
      </c>
      <c r="F18" s="20" t="b">
        <v>0</v>
      </c>
      <c r="G18" s="20" t="b">
        <v>0</v>
      </c>
      <c r="H18" s="20" t="b">
        <v>0</v>
      </c>
      <c r="I18" s="20"/>
    </row>
    <row r="19" spans="2:28" x14ac:dyDescent="0.25">
      <c r="B19" s="18" t="b">
        <v>0</v>
      </c>
      <c r="C19" s="19"/>
      <c r="D19" s="19" t="b">
        <v>1</v>
      </c>
      <c r="F19" s="20" t="b">
        <v>0</v>
      </c>
      <c r="G19" s="20" t="b">
        <v>0</v>
      </c>
      <c r="H19" s="20" t="b">
        <v>0</v>
      </c>
      <c r="I19" s="20"/>
    </row>
    <row r="20" spans="2:28" x14ac:dyDescent="0.25">
      <c r="B20" s="18" t="b">
        <v>0</v>
      </c>
      <c r="C20" s="19"/>
      <c r="D20" s="19" t="b">
        <v>1</v>
      </c>
      <c r="F20" s="20" t="b">
        <v>0</v>
      </c>
      <c r="G20" s="20" t="b">
        <v>0</v>
      </c>
      <c r="H20" s="20" t="b">
        <v>0</v>
      </c>
      <c r="I20" s="20"/>
    </row>
    <row r="21" spans="2:28" x14ac:dyDescent="0.25">
      <c r="B21" s="18" t="b">
        <v>1</v>
      </c>
      <c r="C21" s="19"/>
      <c r="D21" s="19" t="b">
        <v>0</v>
      </c>
      <c r="F21" s="20" t="b">
        <v>0</v>
      </c>
      <c r="G21" s="20" t="b">
        <v>0</v>
      </c>
      <c r="H21" s="20" t="b">
        <v>0</v>
      </c>
      <c r="I21" s="20"/>
    </row>
    <row r="22" spans="2:28" x14ac:dyDescent="0.25">
      <c r="B22" s="18" t="b">
        <v>0</v>
      </c>
      <c r="C22" s="19"/>
      <c r="D22" s="19" t="b">
        <v>0</v>
      </c>
      <c r="F22" s="20" t="b">
        <v>0</v>
      </c>
      <c r="G22" s="20" t="b">
        <v>0</v>
      </c>
      <c r="H22" s="20" t="b">
        <v>0</v>
      </c>
      <c r="I22" s="20"/>
    </row>
    <row r="23" spans="2:28" x14ac:dyDescent="0.25">
      <c r="B23" s="18" t="b">
        <v>0</v>
      </c>
      <c r="C23" s="19"/>
      <c r="D23" s="19" t="b">
        <v>0</v>
      </c>
      <c r="F23" s="20" t="b">
        <v>0</v>
      </c>
      <c r="G23" s="20" t="b">
        <v>0</v>
      </c>
      <c r="H23" s="20" t="b">
        <v>0</v>
      </c>
      <c r="I23" s="20"/>
    </row>
    <row r="24" spans="2:28" x14ac:dyDescent="0.25">
      <c r="B24" s="18" t="b">
        <v>0</v>
      </c>
      <c r="C24" s="19"/>
      <c r="D24" s="19"/>
      <c r="F24" s="20" t="b">
        <v>0</v>
      </c>
      <c r="G24" s="20" t="b">
        <v>0</v>
      </c>
      <c r="H24" s="20" t="b">
        <v>0</v>
      </c>
      <c r="I24" s="20"/>
    </row>
    <row r="25" spans="2:28" x14ac:dyDescent="0.25">
      <c r="B25" s="18" t="b">
        <v>1</v>
      </c>
      <c r="C25" s="19"/>
      <c r="D25" s="19"/>
      <c r="F25" s="20" t="b">
        <v>0</v>
      </c>
      <c r="G25" s="20" t="b">
        <v>0</v>
      </c>
      <c r="H25" s="20" t="b">
        <v>0</v>
      </c>
      <c r="I25" s="20"/>
    </row>
    <row r="26" spans="2:28" x14ac:dyDescent="0.25">
      <c r="B26" s="18" t="b">
        <v>1</v>
      </c>
      <c r="C26" s="19"/>
      <c r="D26" s="19"/>
      <c r="F26" s="20" t="b">
        <v>0</v>
      </c>
      <c r="G26" s="20" t="b">
        <v>0</v>
      </c>
      <c r="H26" s="20" t="b">
        <v>0</v>
      </c>
      <c r="I26" s="20"/>
    </row>
    <row r="27" spans="2:28" x14ac:dyDescent="0.25">
      <c r="B27" s="18" t="b">
        <v>0</v>
      </c>
      <c r="C27" s="19"/>
      <c r="D27" s="19"/>
      <c r="F27" s="20" t="b">
        <v>0</v>
      </c>
      <c r="G27" s="20" t="b">
        <v>0</v>
      </c>
      <c r="H27" s="20" t="b">
        <v>0</v>
      </c>
      <c r="I27" s="20"/>
    </row>
    <row r="28" spans="2:28" x14ac:dyDescent="0.25">
      <c r="B28" s="18" t="b">
        <v>1</v>
      </c>
      <c r="C28" s="19"/>
      <c r="D28" s="19"/>
      <c r="F28" s="20" t="b">
        <v>0</v>
      </c>
      <c r="G28" s="20" t="b">
        <v>0</v>
      </c>
      <c r="H28" s="20" t="b">
        <v>0</v>
      </c>
      <c r="I28" s="20"/>
    </row>
    <row r="29" spans="2:28" x14ac:dyDescent="0.25">
      <c r="B29" s="18" t="b">
        <v>0</v>
      </c>
      <c r="C29" s="19"/>
      <c r="D29" s="19"/>
      <c r="F29" s="20" t="b">
        <v>0</v>
      </c>
      <c r="G29" s="20" t="b">
        <v>0</v>
      </c>
      <c r="H29" s="20" t="b">
        <v>0</v>
      </c>
      <c r="I29" s="20"/>
    </row>
    <row r="30" spans="2:28" x14ac:dyDescent="0.25">
      <c r="B30" s="18" t="b">
        <v>0</v>
      </c>
      <c r="C30" s="19"/>
      <c r="D30" s="19"/>
      <c r="F30" s="20" t="b">
        <v>0</v>
      </c>
      <c r="G30" s="20" t="b">
        <v>0</v>
      </c>
      <c r="H30" s="20" t="b">
        <v>0</v>
      </c>
      <c r="I30" s="20"/>
    </row>
    <row r="31" spans="2:28" x14ac:dyDescent="0.25">
      <c r="B31" s="18" t="b">
        <v>1</v>
      </c>
      <c r="C31" s="19"/>
      <c r="D31" s="19"/>
      <c r="F31" s="20" t="b">
        <v>0</v>
      </c>
      <c r="G31" s="20" t="b">
        <v>0</v>
      </c>
      <c r="H31" s="20" t="b">
        <v>0</v>
      </c>
      <c r="I31" s="20"/>
    </row>
    <row r="32" spans="2:28" x14ac:dyDescent="0.25">
      <c r="B32" s="18" t="b">
        <v>0</v>
      </c>
      <c r="C32" s="19"/>
      <c r="D32" s="19"/>
      <c r="F32" s="20" t="b">
        <v>0</v>
      </c>
      <c r="G32" s="20" t="b">
        <v>0</v>
      </c>
      <c r="H32" s="20" t="b">
        <v>0</v>
      </c>
      <c r="I32" s="20"/>
    </row>
    <row r="33" spans="2:9" x14ac:dyDescent="0.25">
      <c r="B33" s="18"/>
      <c r="C33" s="19"/>
      <c r="D33" s="19"/>
      <c r="F33" s="20" t="b">
        <v>0</v>
      </c>
      <c r="G33" s="20" t="b">
        <v>0</v>
      </c>
      <c r="H33" s="20" t="b">
        <v>0</v>
      </c>
      <c r="I33" s="20"/>
    </row>
    <row r="34" spans="2:9" x14ac:dyDescent="0.25">
      <c r="B34" s="18"/>
      <c r="C34" s="19"/>
      <c r="D34" s="19"/>
      <c r="F34" s="20" t="b">
        <v>0</v>
      </c>
      <c r="G34" s="20" t="b">
        <v>0</v>
      </c>
      <c r="H34" s="20" t="b">
        <v>0</v>
      </c>
      <c r="I34" s="20"/>
    </row>
    <row r="35" spans="2:9" x14ac:dyDescent="0.25">
      <c r="B35" s="18"/>
      <c r="C35" s="19"/>
      <c r="D35" s="19"/>
      <c r="F35" s="20" t="b">
        <v>0</v>
      </c>
      <c r="G35" s="20" t="b">
        <v>0</v>
      </c>
      <c r="H35" s="20" t="b">
        <v>0</v>
      </c>
      <c r="I35" s="20"/>
    </row>
    <row r="36" spans="2:9" x14ac:dyDescent="0.25">
      <c r="B36" s="18"/>
      <c r="C36" s="19"/>
      <c r="D36" s="19"/>
      <c r="F36" s="20" t="b">
        <v>0</v>
      </c>
      <c r="G36" s="20" t="b">
        <v>0</v>
      </c>
      <c r="H36" s="20" t="b">
        <v>0</v>
      </c>
      <c r="I36" s="20"/>
    </row>
    <row r="37" spans="2:9" x14ac:dyDescent="0.25">
      <c r="B37" s="18"/>
      <c r="C37" s="19"/>
      <c r="D37" s="19"/>
      <c r="F37" s="20" t="b">
        <v>1</v>
      </c>
      <c r="G37" s="20" t="b">
        <v>0</v>
      </c>
      <c r="H37" s="20" t="b">
        <v>0</v>
      </c>
      <c r="I37" s="20"/>
    </row>
    <row r="38" spans="2:9" x14ac:dyDescent="0.25">
      <c r="B38" s="18"/>
      <c r="C38" s="19"/>
      <c r="D38" s="19"/>
      <c r="F38" s="20"/>
      <c r="G38" s="20" t="b">
        <v>0</v>
      </c>
      <c r="H38" s="20" t="b">
        <v>0</v>
      </c>
      <c r="I38" s="20"/>
    </row>
    <row r="39" spans="2:9" x14ac:dyDescent="0.25">
      <c r="B39" s="18"/>
      <c r="C39" s="19"/>
      <c r="D39" s="19"/>
      <c r="F39" s="20"/>
      <c r="G39" s="20" t="b">
        <v>0</v>
      </c>
      <c r="H39" s="20" t="b">
        <v>0</v>
      </c>
      <c r="I39" s="20"/>
    </row>
    <row r="40" spans="2:9" x14ac:dyDescent="0.25">
      <c r="B40" s="18"/>
      <c r="C40" s="19"/>
      <c r="D40" s="19"/>
      <c r="F40" s="20"/>
      <c r="G40" s="20" t="b">
        <v>0</v>
      </c>
      <c r="H40" s="20" t="b">
        <v>0</v>
      </c>
      <c r="I40" s="20"/>
    </row>
    <row r="41" spans="2:9" x14ac:dyDescent="0.25">
      <c r="B41" s="18"/>
      <c r="C41" s="19"/>
      <c r="D41" s="19"/>
      <c r="F41" s="20"/>
      <c r="G41" s="20" t="b">
        <v>0</v>
      </c>
      <c r="H41" s="20" t="b">
        <v>0</v>
      </c>
      <c r="I41" s="20"/>
    </row>
    <row r="42" spans="2:9" x14ac:dyDescent="0.25">
      <c r="B42" s="18"/>
      <c r="C42" s="19"/>
      <c r="D42" s="19"/>
      <c r="F42" s="20"/>
      <c r="G42" s="20" t="b">
        <v>0</v>
      </c>
      <c r="H42" s="20"/>
      <c r="I42" s="20"/>
    </row>
    <row r="43" spans="2:9" x14ac:dyDescent="0.25">
      <c r="B43" s="18"/>
      <c r="C43" s="19"/>
      <c r="D43" s="19"/>
      <c r="F43" s="20"/>
      <c r="G43" s="20" t="b">
        <v>0</v>
      </c>
      <c r="H43" s="20"/>
      <c r="I43" s="20"/>
    </row>
    <row r="44" spans="2:9" x14ac:dyDescent="0.25">
      <c r="B44" s="18"/>
      <c r="C44" s="19"/>
      <c r="D44" s="19"/>
      <c r="F44" s="20"/>
      <c r="G44" s="20" t="b">
        <v>0</v>
      </c>
      <c r="H44" s="20"/>
      <c r="I44" s="20"/>
    </row>
    <row r="45" spans="2:9" x14ac:dyDescent="0.25">
      <c r="B45" s="18"/>
      <c r="C45" s="19"/>
      <c r="D45" s="19"/>
      <c r="F45" s="20"/>
      <c r="G45" s="20" t="b">
        <v>0</v>
      </c>
      <c r="H45" s="20"/>
      <c r="I45" s="20"/>
    </row>
    <row r="46" spans="2:9" x14ac:dyDescent="0.25">
      <c r="B46" s="18"/>
      <c r="C46" s="19"/>
      <c r="D46" s="19"/>
      <c r="F46" s="20"/>
      <c r="G46" s="20" t="b">
        <v>0</v>
      </c>
      <c r="H46" s="20"/>
      <c r="I46" s="20"/>
    </row>
    <row r="47" spans="2:9" x14ac:dyDescent="0.25">
      <c r="B47" s="18"/>
      <c r="C47" s="19"/>
      <c r="D47" s="19"/>
      <c r="F47" s="20"/>
      <c r="G47" s="20" t="b">
        <v>0</v>
      </c>
      <c r="H47" s="20"/>
      <c r="I47" s="20"/>
    </row>
    <row r="48" spans="2:9" x14ac:dyDescent="0.25">
      <c r="B48" s="18"/>
      <c r="C48" s="19"/>
      <c r="D48" s="19"/>
      <c r="F48" s="20"/>
      <c r="G48" s="20" t="b">
        <v>0</v>
      </c>
      <c r="H48" s="20"/>
      <c r="I48" s="20"/>
    </row>
    <row r="49" spans="2:9" x14ac:dyDescent="0.25">
      <c r="B49" s="18"/>
      <c r="C49" s="19"/>
      <c r="D49" s="19"/>
      <c r="F49" s="20"/>
      <c r="G49" s="20" t="b">
        <v>0</v>
      </c>
      <c r="H49" s="20"/>
      <c r="I49" s="20"/>
    </row>
    <row r="50" spans="2:9" x14ac:dyDescent="0.25">
      <c r="B50" s="18"/>
      <c r="C50" s="19"/>
      <c r="D50" s="19"/>
      <c r="F50" s="20"/>
      <c r="G50" s="20" t="b">
        <v>0</v>
      </c>
      <c r="H50" s="20"/>
      <c r="I50" s="20"/>
    </row>
    <row r="51" spans="2:9" x14ac:dyDescent="0.25">
      <c r="B51" s="18"/>
      <c r="C51" s="19"/>
      <c r="D51" s="19"/>
      <c r="F51" s="20"/>
      <c r="G51" s="20" t="b">
        <v>0</v>
      </c>
      <c r="H51" s="20"/>
      <c r="I51" s="20"/>
    </row>
    <row r="52" spans="2:9" x14ac:dyDescent="0.25">
      <c r="B52" s="18"/>
      <c r="C52" s="19"/>
      <c r="D52" s="19"/>
      <c r="F52" s="20"/>
      <c r="G52" s="20" t="b">
        <v>0</v>
      </c>
      <c r="H52" s="20"/>
      <c r="I52" s="20"/>
    </row>
    <row r="53" spans="2:9" x14ac:dyDescent="0.25">
      <c r="B53" s="18"/>
      <c r="C53" s="19"/>
      <c r="D53" s="19"/>
      <c r="F53" s="20"/>
      <c r="G53" s="20" t="b">
        <v>0</v>
      </c>
      <c r="H53" s="20"/>
      <c r="I53" s="20"/>
    </row>
    <row r="54" spans="2:9" x14ac:dyDescent="0.25">
      <c r="B54" s="18"/>
      <c r="C54" s="19"/>
      <c r="D54" s="19"/>
      <c r="F54" s="20"/>
      <c r="G54" s="20" t="b">
        <v>0</v>
      </c>
      <c r="H54" s="20"/>
      <c r="I54" s="20"/>
    </row>
    <row r="55" spans="2:9" x14ac:dyDescent="0.25">
      <c r="B55" s="18"/>
      <c r="C55" s="19"/>
      <c r="D55" s="19"/>
      <c r="F55" s="20"/>
      <c r="G55" s="20"/>
      <c r="H55" s="20"/>
      <c r="I55" s="20"/>
    </row>
    <row r="56" spans="2:9" x14ac:dyDescent="0.25">
      <c r="B56" s="18"/>
      <c r="C56" s="19"/>
      <c r="D56" s="19"/>
      <c r="F56" s="20"/>
      <c r="G56" s="20"/>
      <c r="H56" s="20"/>
      <c r="I56" s="20"/>
    </row>
    <row r="57" spans="2:9" x14ac:dyDescent="0.25">
      <c r="B57" s="18"/>
      <c r="C57" s="19"/>
      <c r="D57" s="19"/>
      <c r="F57" s="20"/>
      <c r="G57" s="20"/>
      <c r="H57" s="20"/>
      <c r="I57" s="20"/>
    </row>
    <row r="58" spans="2:9" x14ac:dyDescent="0.25">
      <c r="B58" s="18"/>
      <c r="C58" s="19"/>
      <c r="D58" s="19"/>
      <c r="F58" s="20"/>
      <c r="G58" s="20"/>
      <c r="H58" s="20"/>
      <c r="I58" s="20"/>
    </row>
    <row r="59" spans="2:9" x14ac:dyDescent="0.25">
      <c r="B59" s="18"/>
      <c r="C59" s="19"/>
      <c r="D59" s="19"/>
      <c r="F59" s="20"/>
      <c r="G59" s="20"/>
      <c r="H59" s="20"/>
      <c r="I59" s="20"/>
    </row>
    <row r="60" spans="2:9" x14ac:dyDescent="0.25">
      <c r="B60" s="18"/>
      <c r="C60" s="19"/>
      <c r="D60" s="19"/>
      <c r="F60" s="20"/>
      <c r="G60" s="20"/>
      <c r="H60" s="20"/>
      <c r="I60" s="20"/>
    </row>
    <row r="1011" spans="4:4" x14ac:dyDescent="0.25">
      <c r="D1011" t="b">
        <v>1</v>
      </c>
    </row>
  </sheetData>
  <mergeCells count="1">
    <mergeCell ref="Y3:AF3"/>
  </mergeCells>
  <phoneticPr fontId="13" type="noConversion"/>
  <conditionalFormatting sqref="AB8">
    <cfRule type="notContainsBlanks" dxfId="3" priority="4">
      <formula>LEN(TRIM(AB8))&gt;0</formula>
    </cfRule>
  </conditionalFormatting>
  <conditionalFormatting sqref="AB9:AB10">
    <cfRule type="notContainsBlanks" dxfId="2" priority="3">
      <formula>LEN(TRIM(AB9))&gt;0</formula>
    </cfRule>
  </conditionalFormatting>
  <conditionalFormatting sqref="AG8">
    <cfRule type="notContainsBlanks" dxfId="1" priority="2">
      <formula>LEN(TRIM(AG8))&gt;0</formula>
    </cfRule>
  </conditionalFormatting>
  <conditionalFormatting sqref="AG9:AG10">
    <cfRule type="notContainsBlanks" dxfId="0" priority="1">
      <formula>LEN(TRIM(AG9))&gt;0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CP-1</vt:lpstr>
      <vt:lpstr>CP-2</vt:lpstr>
      <vt:lpstr>CP-3</vt:lpstr>
      <vt:lpstr>CP-4</vt:lpstr>
      <vt:lpstr>CP-5 14001-45001-OSHAS</vt:lpstr>
      <vt:lpstr>CONTROLS!Print_Area</vt:lpstr>
      <vt:lpstr>'CP-1'!Print_Area</vt:lpstr>
      <vt:lpstr>'CP-2'!Print_Area</vt:lpstr>
      <vt:lpstr>'CP-3'!Print_Area</vt:lpstr>
      <vt:lpstr>'CP-4'!Print_Area</vt:lpstr>
      <vt:lpstr>'CP-5 14001-45001-OSHAS'!Print_Area</vt:lpstr>
      <vt:lpstr>'CRSS-1'!Print_Area</vt:lpstr>
      <vt:lpstr>'CRSS-2'!Print_Area</vt:lpstr>
      <vt:lpstr>'CRSS-3'!Print_Area</vt:lpstr>
      <vt:lpstr>'CRSS-4'!Print_Area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Herrera</dc:creator>
  <cp:keywords/>
  <dc:description/>
  <cp:lastModifiedBy>Gabriela Melchor</cp:lastModifiedBy>
  <cp:revision/>
  <dcterms:created xsi:type="dcterms:W3CDTF">2019-06-05T15:39:54Z</dcterms:created>
  <dcterms:modified xsi:type="dcterms:W3CDTF">2022-08-05T17:39:08Z</dcterms:modified>
  <cp:category/>
  <cp:contentStatus/>
</cp:coreProperties>
</file>